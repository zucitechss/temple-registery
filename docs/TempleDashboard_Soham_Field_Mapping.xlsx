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DME" r:id="rId3" sheetId="1"/>
    <sheet name="Summary" r:id="rId4" sheetId="2"/>
    <sheet name="Field Mapping" r:id="rId5" sheetId="3"/>
    <sheet name="Seva Revenue Split" r:id="rId6" sheetId="4"/>
    <sheet name="Nirantara Seva Tracking" r:id="rId7" sheetId="5"/>
    <sheet name="Derived Calculations" r:id="rId8" sheetId="6"/>
    <sheet name="Gap Register" r:id="rId9" sheetId="7"/>
    <sheet name="Assumptions &amp; Dependencies" r:id="rId10" sheetId="8"/>
    <sheet name="Soham Table Inventory" r:id="rId11" sheetId="9"/>
  </sheets>
  <definedNames>
    <definedName name="_xlnm._FilterDatabase" localSheetId="2" hidden="true">'Field Mapping'!$A$4:$G$75</definedName>
    <definedName name="_xlnm._FilterDatabase" localSheetId="3" hidden="true">'Seva Revenue Split'!$A$4:$G$42</definedName>
    <definedName name="_xlnm._FilterDatabase" localSheetId="4" hidden="true">'Nirantara Seva Tracking'!$A$4:$G$55</definedName>
    <definedName name="_xlnm._FilterDatabase" localSheetId="5" hidden="true">'Derived Calculations'!$A$4:$F$31</definedName>
    <definedName name="_xlnm._FilterDatabase" localSheetId="6" hidden="true">'Gap Register'!$A$4:$G$30</definedName>
    <definedName name="_xlnm._FilterDatabase" localSheetId="7" hidden="true">'Assumptions &amp; Dependencies'!$A$4:$D$26</definedName>
    <definedName name="_xlnm._FilterDatabase" localSheetId="8" hidden="true">'Soham Table Inventory'!$A$4:$F$43</definedName>
  </definedNames>
</workbook>
</file>

<file path=xl/sharedStrings.xml><?xml version="1.0" encoding="utf-8"?>
<sst xmlns="http://schemas.openxmlformats.org/spreadsheetml/2006/main" count="1756" uniqueCount="1129">
  <si>
    <t>DC Office Temple Dashboard — Soham Database Field Mapping &amp; Gap Analysis</t>
  </si>
  <si>
    <t>Kollur Sri Mookambika Devi Temple · Temple Registry ID 300001 · Soham TempleCode 43</t>
  </si>
  <si>
    <t>Scope</t>
  </si>
  <si>
    <t>Dashboard analysed</t>
  </si>
  <si>
    <t>docs/TempleDashboardForDCOffice_v2.html (771 lines, 12 widgets) plus the two additionally requested reports: Seva Revenue Split and Nirantara Seva Tracking.</t>
  </si>
  <si>
    <t>Source system</t>
  </si>
  <si>
    <t>KOLSOHAM_LOCAL — SQL Server, restored from the temple's .bak. 167 tables, 170 views, 129 stored procedures, ~15 GB. Every transactional row is TempleCode = 43.</t>
  </si>
  <si>
    <t>Second system referenced</t>
  </si>
  <si>
    <t>Temple Registry (MySQL) — a regulatory registry with NO transactional financial data. Its only financial table, trust_financials, holds two self-declared scalars per financial year.</t>
  </si>
  <si>
    <t>Method</t>
  </si>
  <si>
    <t>Basis</t>
  </si>
  <si>
    <t>Compiled from two verified read-only analyses held in this repository: docs/database/KOLSOHAM_DATABASE_ANALYSIS.md (structure) and docs/finance/KOLLUR_FINANCE_DATA_ANALYSIS.md (financial read, with query-tested aggregates).</t>
  </si>
  <si>
    <t>Live database</t>
  </si>
  <si>
    <t>The SQL Server instance was NOT reachable while this workbook was produced. No figure here was re-queried; all are quoted from those analyses, which were themselves verified against the restored database on 2026-09-16. Re-verify before publishing figures to the DC office.</t>
  </si>
  <si>
    <t>Changes made</t>
  </si>
  <si>
    <t>None. The Soham database was opened read-only and is unmodified.</t>
  </si>
  <si>
    <t>How to read this workbook</t>
  </si>
  <si>
    <t>Summary</t>
  </si>
  <si>
    <t>Counts by availability across the three mapping sheets, and the headline verdict per widget.</t>
  </si>
  <si>
    <t>Field Mapping</t>
  </si>
  <si>
    <t>The main deliverable — every data element on the dashboard, section by section, with source table, source column, transformation, availability and remarks.</t>
  </si>
  <si>
    <t>Seva Revenue Split</t>
  </si>
  <si>
    <t>Dedicated mapping for the revenue-by-seva-type report, including reference SQL and the interpretation cautions that change what the chart means.</t>
  </si>
  <si>
    <t>Nirantara Seva Tracking</t>
  </si>
  <si>
    <t>Dedicated mapping for booked-vs-conducted, laid out as the lifecycle: booking, payment, schedule, execution, status. Part D sets out the execution evidence in full.</t>
  </si>
  <si>
    <t>Derived Calculations</t>
  </si>
  <si>
    <t>Every figure the dashboard computes rather than reads, and the source data each one needs.</t>
  </si>
  <si>
    <t>Gap Register</t>
  </si>
  <si>
    <t>Gaps C1-C5 (critical), I1-I8 (important) and Q1-Q10 (data-quality defects the pipeline must handle).</t>
  </si>
  <si>
    <t>Assumptions &amp; Dependencies</t>
  </si>
  <si>
    <t>A1-A9 and D1-D11 — what must be resolved before implementation.</t>
  </si>
  <si>
    <t>Soham Table Inventory</t>
  </si>
  <si>
    <t>Which tables to use, which to use with care, and which are traps (notably DailySevaNewOld).</t>
  </si>
  <si>
    <t>Availability legend</t>
  </si>
  <si>
    <t>Yes</t>
  </si>
  <si>
    <t>Directly readable from Soham today.</t>
  </si>
  <si>
    <t>Yes (transform)</t>
  </si>
  <si>
    <t>Available, but requires aggregation, a UNION across archives, or an inference that must be labelled in the UI.</t>
  </si>
  <si>
    <t>Partial</t>
  </si>
  <si>
    <t>Present but incomplete, bounded to certain years, or unreliable — must carry a caveat.</t>
  </si>
  <si>
    <t>No</t>
  </si>
  <si>
    <t>Not in Soham. Cannot be derived. Needs new capture.</t>
  </si>
  <si>
    <t>N/A</t>
  </si>
  <si>
    <t>Not applicable — either a presentation-only element or a concept the business model makes meaningless.</t>
  </si>
  <si>
    <t>Headline verdict</t>
  </si>
  <si>
    <t>Can be built from real data now</t>
  </si>
  <si>
    <t>Widgets 1, 2, 5, 9, 12 and the new Seva Revenue Split. Widgets 2 and 11 become BETTER than the mock — real monthly revenue exists, and real per-item gold/silver weight exists.</t>
  </si>
  <si>
    <t>Partially available</t>
  </si>
  <si>
    <t>Widget 3 (cash share is measurable but inferred from absence) and the new Nirantara Seva Tracking (bookings yes, execution no).</t>
  </si>
  <si>
    <t>Cannot be built at all</t>
  </si>
  <si>
    <t>Widgets 4, 6, 7, 8 and 10 — they depend on expenditure, government-grant, works and precious-metal-valuation data that Soham has never held.</t>
  </si>
  <si>
    <t>The single decisive asymmetry</t>
  </si>
  <si>
    <t>Soham holds genuinely excellent INCOME data and NO expenditure data. FN_TRANSACTION looks like a general ledger but posts only saree-auction sales — Rs 2.32 Cr against Rs 90.62 Cr of actual receipts, and zero expenditure.</t>
  </si>
  <si>
    <t>The Nirantara answer</t>
  </si>
  <si>
    <t>Booking information exists, but actual seva execution cannot be independently verified from the available data. All execution flags are zero, the attendance table is empty, the issued counter is zero, and the one flag that IS set is set on 17,808 future-dated rows.</t>
  </si>
  <si>
    <t>Highest-value change available</t>
  </si>
  <si>
    <t>Begin recording Nirantara execution. No schema design is needed — three unused boolean columns, an empty attendance table at the right grain, and an unused issued-count column already exist. But history cannot be recovered: fulfilment reporting can only begin from the day capture starts.</t>
  </si>
  <si>
    <t>Three corrections to the dashboard's own captions</t>
  </si>
  <si>
    <t>(1) 'revenue by financial year only, never by month' — WRONG, ReceiptDate is a real date. (2) 'weight uses a flat 15 g assumption' — WRONG, HKanikeItems.Qty holds real per-item grams. (3) Rs 84.01 Cr 'income register' forced to match computed revenue — these are different accounting bases and must not be reconciled.</t>
  </si>
  <si>
    <t>Field Mapping — TempleDashboardForDCOffice_v2.html vs. the Soham (KOLSOHAM) database</t>
  </si>
  <si>
    <t>Every data element rendered by the dashboard, mapped to its source table and column. Availability: Yes | Yes (transform) | Partial | No | N/A.</t>
  </si>
  <si>
    <t>Dashboard Report/Section</t>
  </si>
  <si>
    <t>Field Name</t>
  </si>
  <si>
    <t>Source Table</t>
  </si>
  <si>
    <t>Source Column</t>
  </si>
  <si>
    <t>Transformation/Logic (if any)</t>
  </si>
  <si>
    <t>Available in Soham (Yes/No)</t>
  </si>
  <si>
    <t>Gap/Remarks</t>
  </si>
  <si>
    <t>PAGE FRAME — temple selector and data-availability banner</t>
  </si>
  <si>
    <t>Page frame</t>
  </si>
  <si>
    <t>Temple name (selector option text)</t>
  </si>
  <si>
    <t>TempleMaster</t>
  </si>
  <si>
    <t>TempleCode; temple-name column</t>
  </si>
  <si>
    <t>Soham-side lookup on TempleCode = 43. For the DC multi-temple list the registry is the master: temples.temple_name.</t>
  </si>
  <si>
    <t>TempleMaster holds 43 rows but is referenced by no view or stored procedure and has no PK; its column list was not enumerated in the structural analysis. Confirm the name/grade column names before use. All 43 dashboard temples are registry entities, not Soham entities — only TempleCode 43 (Kollur) has any Soham data.</t>
  </si>
  <si>
    <t>Temple grade (A/B/C) — drives 'DC Approved Funds' vs 'Government funds' label and fund count</t>
  </si>
  <si>
    <t>TempleMaster (grade attribute) / Temple Registry temples</t>
  </si>
  <si>
    <t>grade</t>
  </si>
  <si>
    <t>Grade drives labelling and the 4-vs-2 fund count in the mock.</t>
  </si>
  <si>
    <t>Grade is a regulatory attribute owned by the Temple Registry, not by the temple POS. Source it from the registry, not Soham.</t>
  </si>
  <si>
    <t>Banner: 'this temple has some digital data being tracked'</t>
  </si>
  <si>
    <t>(none)</t>
  </si>
  <si>
    <t>Derived: true when a source-system mapping row exists and a sync has succeeded.</t>
  </si>
  <si>
    <t>GAP I8 — the link temples.id = 300001 &lt;-&gt; Soham TempleCode = 43 is recorded in NEITHER database. It must be captured explicitly (proposed temple_source_system_map) before any query can be parameterised by temple.</t>
  </si>
  <si>
    <t>WIDGET 1 — Total money collected (KPI + 8-year sparkline)</t>
  </si>
  <si>
    <t>W1 Total money collected</t>
  </si>
  <si>
    <t>Total money collected, current FY (Rs Cr)</t>
  </si>
  <si>
    <t>DailySevaNew</t>
  </si>
  <si>
    <t>Amount, Finyear, BillCancled, Deleteflag, TempleCode, ReceiptDate</t>
  </si>
  <si>
    <t>SUM(Amount) WHERE Finyear = @fy, / 1,00,00,000 for Cr. Standard predicate: BillCancled = 0 AND Deleteflag = 0 AND TempleCode = 43 AND ReceiptDate &gt;= '2015-01-01'.</t>
  </si>
  <si>
    <t>Authoritative. Verified FY2025-26 = Rs 90,61,62,936 (3,950,072 receipts). Do NOT use DailySevaNewDetails.TotalAmount — it is 41% short of the header and internally inconsistent with Amount x Qty.</t>
  </si>
  <si>
    <t>8-year revenue series 2019-20 .. 2026-27 (sparkline)</t>
  </si>
  <si>
    <t>DailySevaNew + DailySevaNew20192020/20202021/20212022/20222023/20232024/20242025</t>
  </si>
  <si>
    <t>Amount, Finyear, BillCancled, Deleteflag</t>
  </si>
  <si>
    <t>UNION ALL across the live table and the 6 per-FY archives, then SUM(Amount) GROUP BY Finyear.</t>
  </si>
  <si>
    <t>CRITICAL: exclude DailySevaNewOld — it is a byte-exact duplicate of all six archives (16,982,270 rows both ways). Unioning it doubles all history. Also: the live DailySevaNew holds TWO financial years (2025-26 and 2026-27) because the 2025-26 archive cut was never made — never assume one FY per table.</t>
  </si>
  <si>
    <t>FY label (e.g. '2025-26')</t>
  </si>
  <si>
    <t>Finyear</t>
  </si>
  <si>
    <t>Format int YYYYYYYY (20252026) -&gt; '2025-26'.</t>
  </si>
  <si>
    <t>Finyear verified consistent with ReceiptDate in both live years (FY2025-26 = 2025-04-01..2026-03-31).</t>
  </si>
  <si>
    <t>Caption 'matches income-expenditure register total' (Rs 84.01 Cr)</t>
  </si>
  <si>
    <t>The mock overwrote the final series point with a figure transcribed from a scanned Kannada PDF (Expenditure.pdf).</t>
  </si>
  <si>
    <t>GAP C1 — not a database aggregate. The computed FY2025-26 revenue is Rs 90.62 Cr, not Rs 84.01 Cr; the two are different accounting bases and must not be forced to agree. Remove the claim or label the register figure as a declared, out-of-system value.</t>
  </si>
  <si>
    <t>Cancelled receipt count / value (recommended addition)</t>
  </si>
  <si>
    <t>DailySevaNew; ReceiptCanceldetails</t>
  </si>
  <si>
    <t>BillCancled, BillCancledBy, BillCancledReason, Billcanceldate</t>
  </si>
  <si>
    <t>COUNT / SUM WHERE BillCancled = 1, reported alongside net revenue (net = gross - cancelled).</t>
  </si>
  <si>
    <t>22 cancelled receipts / Rs 1.14 L in FY2025-26. Report separately rather than silently dropping — the DC office needs cancellation volume as an integrity signal. No refund concept exists (GAP I6).</t>
  </si>
  <si>
    <t>WIDGET 2 — Money collected, month on month</t>
  </si>
  <si>
    <t>W2 Monthly revenue</t>
  </si>
  <si>
    <t>Monthly revenue Apr..Aug of current FY (Rs Cr)</t>
  </si>
  <si>
    <t>Amount, ReceiptDate</t>
  </si>
  <si>
    <t>SUM(Amount) GROUP BY YEAR(ReceiptDate), MONTH(ReceiptDate). Standard predicate applies.</t>
  </si>
  <si>
    <t>The mock's own comment — 'the temple's system reports revenue by financial year only, never by month' — is WRONG. ReceiptDate is a genuine smalldatetime; monthly, weekly and daily grains are all directly computable. This widget becomes more accurate than the mock, and the seeded monthlySplitFor() generator should be deleted.</t>
  </si>
  <si>
    <t>Caption 'illustrative monthly split of the FY total'</t>
  </si>
  <si>
    <t>(n/a)</t>
  </si>
  <si>
    <t>Remove — no longer needed once real monthly aggregates are used.</t>
  </si>
  <si>
    <t>Disclaimer becomes obsolete.</t>
  </si>
  <si>
    <t>WIDGET 3 — Paid in cash (gauge)</t>
  </si>
  <si>
    <t>W3 Paid in cash</t>
  </si>
  <si>
    <t>Cash share % (99.999 in mock)</t>
  </si>
  <si>
    <t>CardNo, BankName, RemarksBanking</t>
  </si>
  <si>
    <t>COUNT(CASE WHEN (CardNo IS NULL OR CardNo='') AND (BankName IS NULL OR BankName='') THEN 1 END) * 100.0 / COUNT(*)</t>
  </si>
  <si>
    <t>Measured 99.99997% for FY2025-26 (1 of 3,950,072 receipts carries card/bank data). The number is right but it is INFERRED FROM ABSENCE, not read from a payment-mode column. Relabel the widget 'no digital payment recorded (%)' — a blank CardNo means nobody typed one, not that cash was tendered.</t>
  </si>
  <si>
    <t>Cash amount 'Rs X Cr of Rs Y Cr'</t>
  </si>
  <si>
    <t>Amount, CardNo, BankName</t>
  </si>
  <si>
    <t>Derived: cash_share_pct x current-FY revenue. Prefer SUM(Amount) over the non-digital subset rather than a percentage applied to the total.</t>
  </si>
  <si>
    <t>The mock multiplies the total by the share, which is an approximation; sum the actual subset instead.</t>
  </si>
  <si>
    <t>Payment mode breakdown (cash / card / UPI / cheque)</t>
  </si>
  <si>
    <t>Would need an explicit mode column.</t>
  </si>
  <si>
    <t>GAP I1 — DailySevaNew has NO payment-mode column. Note the inconsistency: SareeDonation and SareeAuction DO have TranType smallint. Recommend adding PaymentMode tinyint at source.</t>
  </si>
  <si>
    <t>WIDGET 4 — DC approved funds used overall (gauge)</t>
  </si>
  <si>
    <t>W4 DC funds gauge</t>
  </si>
  <si>
    <t>Overall utilisation % (spent / approved)</t>
  </si>
  <si>
    <t>Derived from Widget 7 data, which does not exist.</t>
  </si>
  <si>
    <t>GAP C2/C3 — no grant or utilisation data in either database.</t>
  </si>
  <si>
    <t>Total approved (Rs L), total spent (Rs L)</t>
  </si>
  <si>
    <t>—</t>
  </si>
  <si>
    <t>GAP C2/C3.</t>
  </si>
  <si>
    <t>WIDGET 5 — Where the money comes from (donut + legend)</t>
  </si>
  <si>
    <t>W5 Income sources</t>
  </si>
  <si>
    <t>Income source name (top 5)</t>
  </si>
  <si>
    <t>seva_seva</t>
  </si>
  <si>
    <t>ssv_code, ssv_Name_English, ssv_Name</t>
  </si>
  <si>
    <t>JOIN seva_seva.ssv_code = DailySevaNew.SevaCode. Verified 0 orphan SevaCodes across 5.4 M live rows.</t>
  </si>
  <si>
    <t>ssv_Name is Kannada (nvarchar, correct), ssv_Name_English is the display name. Read with UTF-8 or all Kannada arrives as '?' (DB collation is SQL_Latin1_General_CP1_CI_AS).</t>
  </si>
  <si>
    <t>Revenue per source (Rs Cr)</t>
  </si>
  <si>
    <t>DailySevaNew JOIN seva_seva</t>
  </si>
  <si>
    <t>DailySevaNew.Amount; seva_seva.ssv_code</t>
  </si>
  <si>
    <t>SUM(Amount) GROUP BY ssv_code ORDER BY revenue DESC, take top N, roll the remainder into 'Other'.</t>
  </si>
  <si>
    <t>Real FY2025-26 top 5: Hundi Rs 13.40 Cr, Laddu Rs 7.37 Cr, Cloth bag Rs 6.65 Cr, Anna Santarpana Rs 5.81 Cr, Panchakajjaya Rs 5.15 Cr. The mock's values (73.9/39.6/35.6/30.9/23.7 Cr) match neither one year nor the 8-year sum — the period must be chosen deliberately, and history before FY2019-20 does not exist.</t>
  </si>
  <si>
    <t>Share of total (%)</t>
  </si>
  <si>
    <t>(derived)</t>
  </si>
  <si>
    <t>source_revenue / SUM(all source revenue) x 100.</t>
  </si>
  <si>
    <t>See 'Derived Calculations' sheet.</t>
  </si>
  <si>
    <t>Coarse 4-bucket breakdown (recommended second ring)</t>
  </si>
  <si>
    <t>seva_seva JOIN seva_sannidhi</t>
  </si>
  <si>
    <t>ssv_sannidhi -&gt; ssn_code, ssn_name, ssn_Type</t>
  </si>
  <si>
    <t>GROUP BY ssn_name. Buckets: SEVAS (DS), SPL SEVAS (SS), KANIKE/DONATION (KN), PRASADA (PS).</t>
  </si>
  <si>
    <t>FY2025-26: SEVAS Rs 46.20 Cr, KANIKE/DONATION Rs 20.55 Cr, PRASADA Rs 17.83 Cr, SPL SEVAS Rs 6.04 Cr. This is the ONLY reliable donation-vs-seva separator in the database — the dedicated Donation table has 0 rows.</t>
  </si>
  <si>
    <t>WIDGET 6 — Where the money goes: expenditures</t>
  </si>
  <si>
    <t>W6 Expenditure</t>
  </si>
  <si>
    <t>Income (register) Rs 84.01 Cr</t>
  </si>
  <si>
    <t>(none in Soham)</t>
  </si>
  <si>
    <t>Interim: Temple Registry trust_financials.annual_income</t>
  </si>
  <si>
    <t>Register figure hand-transcribed from a Kannada PDF; no database aggregate reproduces it.</t>
  </si>
  <si>
    <t>GAP C1. Interim substitute is the trust's self-declared annual_income (one scalar per FY), which must be labelled 'declared', not 'measured'.</t>
  </si>
  <si>
    <t>Total expenditure Rs 51.25 Cr</t>
  </si>
  <si>
    <t>Would require expense transactions: amount, date, category, payee, description.</t>
  </si>
  <si>
    <t>GAP C1 — there is NO expenditure data in Soham. Not partial, not low-quality: none. FN_TRANSACTION looks like a general ledger (524,296 rows, balanced double entry) but in FY2025-26 it posts exactly two accounts — both sides of saree-auction sales, Rs 2.32 Cr, i.e. 2.6% of the temple's money — and zero expenditure. FN_VOUCHERPAYEMENT (the payment-voucher table) has 0 rows.</t>
  </si>
  <si>
    <t>Net surplus / deficit Rs 32.76 Cr</t>
  </si>
  <si>
    <t>income - expenditure.</t>
  </si>
  <si>
    <t>NOT DERIVABLE — no expense side. The only possible net figure is trust_financials.annual_income - annual_expenditure, both self-declared and on a non-comparable basis from computed receipt revenue.</t>
  </si>
  <si>
    <t>Spend by category — 7 bars (staff, ritual, infrastructure, stores, education, admin, statutory)</t>
  </si>
  <si>
    <t>BudgetMainGroupMaster (LABELS ONLY)</t>
  </si>
  <si>
    <t>BudgetMainGroup, BudgetMainGroupName</t>
  </si>
  <si>
    <t>Category NAMES exist; no amounts are attached to them anywhere.</t>
  </si>
  <si>
    <t>GAP C1. BudgetMainGroupMaster holds 16 real Kannada expense heads that map closely to the mock's invented categories (Sibbandi varga -&gt; staff; Nitya katle / Hechchu katle -&gt; ritual; Kattadagalu -&gt; buildings; Terigegalu -&gt; taxes; Shikshana -&gt; education). Reuse this taxonomy if expense capture is ever built. Note its data defect: BudgetMainGroup value 15 is used twice.</t>
  </si>
  <si>
    <t>Largest individual line items (top 8 of 75)</t>
  </si>
  <si>
    <t>Would require individual expense entries.</t>
  </si>
  <si>
    <t>GAP C1. The mock's 75 line items came from Expenditure_Translated_FY2025-26.xlsx, a hand translation of a scanned register.</t>
  </si>
  <si>
    <t>Budget allocation vs actual (alternative framing)</t>
  </si>
  <si>
    <t>BudgetDetails, BudgetMainGroupMaster</t>
  </si>
  <si>
    <t>BudgetAmount, BudgetIssue, BudgetMainGroup</t>
  </si>
  <si>
    <t>Not usable: 12 rows, ALL FY2017-18, with BudgetIssue (amount spent) zero on 10 of 12.</t>
  </si>
  <si>
    <t>A nine-year-old planning artefact, not actuals.</t>
  </si>
  <si>
    <t>WIDGET 7 — DC Approved Funds: approved vs spent (drillable, 5 years)</t>
  </si>
  <si>
    <t>W7 DC Approved Funds</t>
  </si>
  <si>
    <t>Fund / scheme name</t>
  </si>
  <si>
    <t>GAP C2 — no grant master exists in Soham OR in the Temple Registry. This is DC-office data, not temple-POS data, and must be captured in a new registry module.</t>
  </si>
  <si>
    <t>Approved amount per fund per FY (5 years)</t>
  </si>
  <si>
    <t>GAP C2.</t>
  </si>
  <si>
    <t>Spent amount per fund per FY (5 years)</t>
  </si>
  <si>
    <t>GAP C3.</t>
  </si>
  <si>
    <t>Current-year utilisation % per fund</t>
  </si>
  <si>
    <t>spent / approved x 100</t>
  </si>
  <si>
    <t>GAP C3 — derived from data that does not exist.</t>
  </si>
  <si>
    <t>Sanction order number (e.g. DC/UDP/MUZ/2023/456)</t>
  </si>
  <si>
    <t>GAP C2 — generated in the mock by fundMetaFor() from a hash of the temple code.</t>
  </si>
  <si>
    <t>Approving authority (DC Udupi / DC Dakshina Kannada / Muzrai)</t>
  </si>
  <si>
    <t>GAP C2 — hard-coded list in the mock.</t>
  </si>
  <si>
    <t>Fund category (Infrastructure / Heritage / Welfare / Sanitation)</t>
  </si>
  <si>
    <t>GAP C2 — hard-coded FUND_CATEGORY map in the mock.</t>
  </si>
  <si>
    <t>Utilisation proof: invoice no., work description, amount, FY</t>
  </si>
  <si>
    <t>GAP C3 — no invoice, vendor, work-order or purchase table in either database. The Temple Registry has a contractors registry, but it is master data with no amounts.</t>
  </si>
  <si>
    <t>Utilisation proof: before/after site photographs</t>
  </si>
  <si>
    <t>GAP C3. Note: the registry has a documents table that could hold the scans once a grant module exists.</t>
  </si>
  <si>
    <t>WIDGET 8 — Ongoing Works (Kollur only in the mock)</t>
  </si>
  <si>
    <t>W8 Ongoing Works</t>
  </si>
  <si>
    <t>Work title, description</t>
  </si>
  <si>
    <t>GAP I7 — no project/works table in either database.</t>
  </si>
  <si>
    <t>Approved (Rs L), spent (Rs L), progress %</t>
  </si>
  <si>
    <t>GAP I7.</t>
  </si>
  <si>
    <t>Start date, expected completion, status note</t>
  </si>
  <si>
    <t>Running-bill invoice no. and bill description</t>
  </si>
  <si>
    <t>GAP I7 / C3.</t>
  </si>
  <si>
    <t>WIDGETS 9-11 — Gold &amp; silver donated by devotees</t>
  </si>
  <si>
    <t>W9 Gold/silver items</t>
  </si>
  <si>
    <t>Items donated per financial year</t>
  </si>
  <si>
    <t>HKanikeItems</t>
  </si>
  <si>
    <t>Finyear, ssg_receiptdate, BillCancel, Deleteflag</t>
  </si>
  <si>
    <t>COUNT(*) GROUP BY Finyear WHERE BillCancel = 0 AND Deleteflag = 0.</t>
  </si>
  <si>
    <t>Verified: real counts 28/46/37/65/105/164/39 match the mock's donationCounts for FY2016-17..FY2024-25 EXACTLY. Caveats: FY2015-16 holds 1,666 items (an opening-stock migration the mock zeroed); FY2021-22 and FY2022-23 have NO rows at all — render as a gap, not as 0; FY2025-26 (44) and FY2026-27 (17) exist but are omitted from the mock; earliest ssg_receiptdate is 1969-09-26, which is invalid.</t>
  </si>
  <si>
    <t>Gold vs silver split (not in the mock — recommended)</t>
  </si>
  <si>
    <t>HKanikeItems JOIN HItemMaster</t>
  </si>
  <si>
    <t>ssg_Itemslno -&gt; HItemMaster.ItemSlNo, ItemName</t>
  </si>
  <si>
    <t>ItemSlNo 2 = gold, 1 = silver.</t>
  </si>
  <si>
    <t>Available today and materially more informative than a single undifferentiated count.</t>
  </si>
  <si>
    <t>W10 Estimated value</t>
  </si>
  <si>
    <t>Estimated value = items x Rs 12,000 (ASSUMED_VALUE_PER_ITEM_RS)</t>
  </si>
  <si>
    <t>Rate, Amount</t>
  </si>
  <si>
    <t>The mock multiplies item count by a flat Rs 12,000 assumption with no basis in the data.</t>
  </si>
  <si>
    <t>GAP C5 — NOT DERIVABLE. Rate and Amount are ZERO on every row after FY2015-16 (only FY2015-16 carries values, totalling Rs 59.05 Cr, clearly an opening valuation). There is no per-item rate, no purity and no market-rate table. This chart should be REMOVED, not re-based — presenting an invented figure to the DC office is worse than presenting nothing.</t>
  </si>
  <si>
    <t>Purity grade (needed for any valuation)</t>
  </si>
  <si>
    <t>HKanikeItems; PurityMaster</t>
  </si>
  <si>
    <t>Purity</t>
  </si>
  <si>
    <t>GAP C5 — HKanikeItems.Purity is an EMPTY STRING on all 2,225 rows, although PurityMaster defines 9 grades (916, BIS Hallmark, 22/24 carat, Bar Silver...). Valuation is impossible and cannot be back-filled.</t>
  </si>
  <si>
    <t>W11 Estimated weight</t>
  </si>
  <si>
    <t>Estimated weight = items x 15 g (ASSUMED_WEIGHT_PER_ITEM_GRAMS)</t>
  </si>
  <si>
    <t>Qty (grams), InKgs, ssg_Itemslno</t>
  </si>
  <si>
    <t>REPLACE the assumption with SUM(Qty) GROUP BY Finyear, ssg_Itemslno. Confirmed InKgs = Qty/1000.</t>
  </si>
  <si>
    <t>The dashboard's caption — 'the temple's system only logs item counts, value and weight use flat assumptions' — is WRONG on weight. Real per-item weight exists. Totals: gold 325.516 kg over 1,895 items; silver 539.250 kg over 316 items. Drop ASSUMED_WEIGHT_PER_ITEM_GRAMS and show real weight split by metal.</t>
  </si>
  <si>
    <t>WIDGET 12 — Special / high-value sevas</t>
  </si>
  <si>
    <t>W12 Special sevas</t>
  </si>
  <si>
    <t>Seva name</t>
  </si>
  <si>
    <t>ssv_Name_English, ssv_Name</t>
  </si>
  <si>
    <t>Filter ssv_amount &gt;= threshold.</t>
  </si>
  <si>
    <t>The mock's 5 names and amounts are genuine seva_seva rows.</t>
  </si>
  <si>
    <t>Rate card amount (Rs)</t>
  </si>
  <si>
    <t>ssv_amount</t>
  </si>
  <si>
    <t>List price as configured on the seva master.</t>
  </si>
  <si>
    <t>ssv_amount is the LIST price; DailySevaNew.Amount is what was CHARGED. They diverge legitimately (quantity, concessions, differential-amount sevas). Use ssv_amount only to display a rate card.</t>
  </si>
  <si>
    <t>Bookings and revenue per special seva (recommended enrichment)</t>
  </si>
  <si>
    <t>Amount, SevaCode, Finyear</t>
  </si>
  <si>
    <t>COUNT(*) and SUM(Amount) GROUP BY ssv_code for the FY.</t>
  </si>
  <si>
    <t>Makes the widget honest: the mock lists Ashtabandaha Gold Kalasha (Rs 5,00,000) and Sahasra Chandi Havana (Rs 50,000) as headline special sevas, but BOTH had ZERO bookings in FY2025-26. Navagrahapoorva Chandi Yaga had 633 bookings / Rs 1.56 Cr and Udayastamana Pooja 530 / Rs 87.05 L.</t>
  </si>
  <si>
    <t>Active/inactive seva flag</t>
  </si>
  <si>
    <t>IsNotActive, Deleteflag</t>
  </si>
  <si>
    <t>Filter the DIMENSION for pickers; do NOT filter the FACT for history.</t>
  </si>
  <si>
    <t>Revenue rows may legitimately reference a seva that was later deactivated.</t>
  </si>
  <si>
    <t>WIDGET 13 — Seva Revenue Split (new requirement)</t>
  </si>
  <si>
    <t>W13 Seva Revenue Split</t>
  </si>
  <si>
    <t>All fields</t>
  </si>
  <si>
    <t>DailySevaNew JOIN seva_seva LEFT JOIN seva_sannidhi</t>
  </si>
  <si>
    <t>see dedicated sheet</t>
  </si>
  <si>
    <t>Full mapping, SQL and cautions on the 'Seva Revenue Split' sheet.</t>
  </si>
  <si>
    <t>Fully supported today across all 164 sevas and 8 financial years.</t>
  </si>
  <si>
    <t>WIDGET 14 — Nirantara Seva Tracking (new requirement)</t>
  </si>
  <si>
    <t>W14 Nirantara Tracking</t>
  </si>
  <si>
    <t>seva_sevakarta*, seva_List*, Sevaattendedlist</t>
  </si>
  <si>
    <t>Full lifecycle mapping and the execution-evidence gap on the 'Nirantara Seva Tracking' sheet.</t>
  </si>
  <si>
    <t>Bookings YES, execution NO. See that sheet before designing the widget.</t>
  </si>
  <si>
    <t>OTHER REVENUE STREAMS PRESENT IN SOHAM BUT ABSENT FROM THE DASHBOARD</t>
  </si>
  <si>
    <t>Not on dashboard</t>
  </si>
  <si>
    <t>Saree donations — donor-declared value</t>
  </si>
  <si>
    <t>SareeDonation</t>
  </si>
  <si>
    <t>SareeValueDonor, ReceiptDate, Finyear, billcancled, DeleteFlag, DonorName, SareeTypeCode</t>
  </si>
  <si>
    <t>SUM(SareeValueDonor) GROUP BY Finyear. FY2025-26: Rs 3.64 Cr over 30,320 sarees.</t>
  </si>
  <si>
    <t>Use SareeValueDonor. Do NOT use SareeKanike — it is zero on every one of the 182,675 rows despite its name. The value is donor-declared, not an appraisal. Data starts FY2016-17, three years before seva data.</t>
  </si>
  <si>
    <t>Saree auction proceeds</t>
  </si>
  <si>
    <t>SareeAuction, SareeAuctionDetails</t>
  </si>
  <si>
    <t>AuctionAmt, AuctionDate, Finyear, billcancled</t>
  </si>
  <si>
    <t>SUM(AuctionAmt) GROUP BY Finyear. FY2025-26: Rs 2.30 Cr over 27,767 lots.</t>
  </si>
  <si>
    <t>MUST NOT be added to saree donations — the auction realises the value of the same physical sarees, so summing both double-counts. This is also the only stream posted to FN_TRANSACTION.</t>
  </si>
  <si>
    <t>GST collected on saree auctions</t>
  </si>
  <si>
    <t>SareeAuction</t>
  </si>
  <si>
    <t>CGSTper, SGSTper, CGSTAmt, SGSTAmt, TaxableAmount</t>
  </si>
  <si>
    <t>SUM(CGSTAmt + SGSTAmt) GROUP BY Finyear.</t>
  </si>
  <si>
    <t>Zero before FY2023-24 — that is an absence of RECORDING, not an exemption. Do not present pre-FY2023-24 years as tax-free.</t>
  </si>
  <si>
    <t>Revenue by counter / by cashier</t>
  </si>
  <si>
    <t>DailySevaNew JOIN CounterMaster / UserTable</t>
  </si>
  <si>
    <t>COUNTERNO -&gt; CounterMaster.CounterID; ModifiedBy -&gt; UserTable.UserId</t>
  </si>
  <si>
    <t>SUM(Amount) GROUP BY COUNTERNO or ModifiedBy.</t>
  </si>
  <si>
    <t>3 counters, 19 users. High audit value for a DC oversight dashboard; costs nothing extra to compute.</t>
  </si>
  <si>
    <t>Average receipt value; receipts per day; festival peaks</t>
  </si>
  <si>
    <t>SUM/COUNT; COUNT GROUP BY CAST(ReceiptDate AS date).</t>
  </si>
  <si>
    <t>Average receipt Rs 229 in FY2025-26.</t>
  </si>
  <si>
    <t>Devotee identity / repeat-donor analysis</t>
  </si>
  <si>
    <t>PersonName, Address, MobileNo, Email</t>
  </si>
  <si>
    <t>Free-text only — no devotee master for daily sevas.</t>
  </si>
  <si>
    <t>GAP O1 — names are denormalised free text on the receipt row. NameMaster/AddressMaster exist but are used only by the Nirantara module. Repeat-donor analysis is not possible. Donor PAN / 80G details are also absent (GAP O2).</t>
  </si>
  <si>
    <t>Hundi (donation box) denomination detail</t>
  </si>
  <si>
    <t>HundiCollection_Cash / _Coins / _GoldSilver / _Others</t>
  </si>
  <si>
    <t>(all tables empty)</t>
  </si>
  <si>
    <t>GAP O5 — all four hundi tables have 0 rows even though hundi is the single largest income line. Hundi money is booked through DailySevaNew under SevaCode 430 (HUNDIALS) as 13 receipts averaging Rs 1.03 Cr each.</t>
  </si>
  <si>
    <t>Rent / tenancy / hall booking / tulabhara / annadhana income</t>
  </si>
  <si>
    <t>TenantMaster, TenantReceipt, ShopRentMaster, LandRentMaster, HallBookingDetails, HTulabhara, AnnadhanaDetails, Donation</t>
  </si>
  <si>
    <t>Each of these modules is fully built out in schema, views and stored procedures and holds ZERO rows. ~10 of Soham's 23 modules are in this state — the product was deployed at Kollur with only the seva, offering and accounting modules switched on.</t>
  </si>
  <si>
    <t>Seva Revenue Split — revenue breakdown by individual seva type</t>
  </si>
  <si>
    <t>New Financial Dashboard report. Status: AVAILABLE — all 164 sevas, 8 financial years, fully supported by the Soham database today.</t>
  </si>
  <si>
    <t>VERDICT — AVAILABLE. Revenue by individual seva type is fully supported today, for all 164 sevas across 8 financial years.</t>
  </si>
  <si>
    <t>Seva code</t>
  </si>
  <si>
    <t>ssv_code</t>
  </si>
  <si>
    <t>JOIN seva_seva.ssv_code = DailySevaNew.SevaCode.</t>
  </si>
  <si>
    <t>Verified 0 orphan SevaCodes out of 5.4 M live receipt rows. Caution: seva_seva has NO primary key and no unique constraint on ssv_code — its clustered index IX_Sannidi is on ssv_sannidhi (4 distinct values across 164 rows), so nothing prevents a duplicate ssv_code and lookups by ssv_code cannot seek.</t>
  </si>
  <si>
    <t>Seva name (English)</t>
  </si>
  <si>
    <t>ssv_Name_English</t>
  </si>
  <si>
    <t>Display label.</t>
  </si>
  <si>
    <t>nvarchar(400).</t>
  </si>
  <si>
    <t>Seva name (Kannada)</t>
  </si>
  <si>
    <t>ssv_Name</t>
  </si>
  <si>
    <t>Local-language label.</t>
  </si>
  <si>
    <t>nvarchar(1000), correct type. But the DB collation is SQL_Latin1_General_CP1_CI_AS, so Kannada sorts by code point and MUST be read over a UTF-8-configured connection or it arrives as '?'.</t>
  </si>
  <si>
    <t>Income bucket (sannidhi)</t>
  </si>
  <si>
    <t>LEFT JOIN. 4 buckets: SEVAS (DS), SPL SEVAS (SS), KANIKE/DONATION (KN), PRASADA (PS).</t>
  </si>
  <si>
    <t>The only reliable classifier for separating rituals from prasadam retail from donations.</t>
  </si>
  <si>
    <t>Booking count per seva</t>
  </si>
  <si>
    <t>(row count)</t>
  </si>
  <si>
    <t>COUNT_BIG(*) GROUP BY ssv_code.</t>
  </si>
  <si>
    <t>Label the measure 'receipts', NOT 'devotees'. One devotee buying 20 laddus is ONE header row with Qty=20 in the detail table.</t>
  </si>
  <si>
    <t>Gross revenue per seva</t>
  </si>
  <si>
    <t>Amount</t>
  </si>
  <si>
    <t>SUM(d.Amount) GROUP BY ssv_code, with the standard predicate.</t>
  </si>
  <si>
    <t>SOURCE OF TRUTH. Three candidate amount columns exist and disagree for FY2025-26: header Amount = Rs 90,61,62,936 (authoritative); DailySevaNewDetails.TotalAmount = Rs 53,77,53,226 (41% short); Details.Amount x Qty = Rs 56,31,07,228. Header and detail are 1:1 with 0 orphans, so the gap is not missing records — the detail table is internally inconsistent (e.g. Qty=2, Amount=20, TotalAmount=20). Use DailySevaNewDetails ONLY for line-item composition, never for money.</t>
  </si>
  <si>
    <t>Cancelled count / cancelled amount per seva</t>
  </si>
  <si>
    <t>BillCancled, Billcanceldate, BillCancledBy, BillCancledReason</t>
  </si>
  <si>
    <t>COUNT / SUM WHERE BillCancled = 1.</t>
  </si>
  <si>
    <t>ReceiptCanceldetails (465 rows, 2018-2026) provides the audit trail.</t>
  </si>
  <si>
    <t>Net revenue per seva</t>
  </si>
  <si>
    <t>gross - cancelled.</t>
  </si>
  <si>
    <t>Net = gross - cancelled is the ONLY reversal available; there is no refund table and no negative amounts anywhere (GAP I6).</t>
  </si>
  <si>
    <t>Average ticket per seva</t>
  </si>
  <si>
    <t>SUM(Amount) / COUNT_BIG(*).</t>
  </si>
  <si>
    <t>See 'Derived Calculations'.</t>
  </si>
  <si>
    <t>Rate card amount</t>
  </si>
  <si>
    <t>List price for comparison against charged.</t>
  </si>
  <si>
    <t>Diverges from charged Amount legitimately — quantity, concessions, and differential-amount sevas such as 'CHANDIKA HOMA - DIFFARANCE AMOUNT'.</t>
  </si>
  <si>
    <t>% of total revenue</t>
  </si>
  <si>
    <t>seva revenue / FY total x 100.</t>
  </si>
  <si>
    <t>Financial year filter</t>
  </si>
  <si>
    <t>WHERE Finyear = @finyear (int, YYYYYYYY).</t>
  </si>
  <si>
    <t>Verified consistent with ReceiptDate.</t>
  </si>
  <si>
    <t>Date-range filter (any grain down to daily)</t>
  </si>
  <si>
    <t>ReceiptDate</t>
  </si>
  <si>
    <t>WHERE ReceiptDate BETWEEN @from AND @to.</t>
  </si>
  <si>
    <t>Only the LIVE DailySevaNew has a date index (idx_ReceiptDate). NONE of the six archives has a date index at all, so any historical date-range filter is a multi-GB scan — this is the single biggest performance constraint on the integration design.</t>
  </si>
  <si>
    <t>Counter filter</t>
  </si>
  <si>
    <t>DailySevaNew JOIN CounterMaster</t>
  </si>
  <si>
    <t>COUNTERNO -&gt; CounterID</t>
  </si>
  <si>
    <t>GROUP BY / WHERE.</t>
  </si>
  <si>
    <t>3 counters.</t>
  </si>
  <si>
    <t>Cashier / operator filter</t>
  </si>
  <si>
    <t>DailySevaNew JOIN UserTable</t>
  </si>
  <si>
    <t>ModifiedBy -&gt; UserId</t>
  </si>
  <si>
    <t>Note: ModifiedBy char(10) sits INSIDE the primary key of all 17 DailySeva tables, which is a schema smell but does make the value reliably present.</t>
  </si>
  <si>
    <t>Quantity sold per seva</t>
  </si>
  <si>
    <t>DailySevaNewDetails</t>
  </si>
  <si>
    <t>Qty, SevaCode, Finyear</t>
  </si>
  <si>
    <t>SUM(Qty) GROUP BY SevaCode.</t>
  </si>
  <si>
    <t>Qty is usable for UNIT counts (how many laddus) but the detail table's money columns are unreliable (see gross revenue row). Treat quantity as indicative only; reconcile against the header before publishing.</t>
  </si>
  <si>
    <t>Payment status (paid / pending / partial)</t>
  </si>
  <si>
    <t>Not applicable to daily sevas.</t>
  </si>
  <si>
    <t>DailySevaNew has no PaymentStatus, PaidFlag or outstanding column — and correctly so. The business model is counter-sale: a receipt is issued when money changes hands, so RECEIPT EXISTENCE IS PAYMENT. No credit, no partial payment, no receivables. (This does NOT hold for Nirantara sevas — see that sheet.)</t>
  </si>
  <si>
    <t>Refund / reversal</t>
  </si>
  <si>
    <t>GAP I6 — no refund table, no negative amounts. State explicitly that net = gross - cancelled.</t>
  </si>
  <si>
    <t>REFERENCE SQL — verified against the restored KOLSOHAM_LOCAL database</t>
  </si>
  <si>
    <t>Query</t>
  </si>
  <si>
    <t>DailySevaNew d JOIN seva_seva s LEFT JOIN seva_sannidhi n</t>
  </si>
  <si>
    <t>see Transformation</t>
  </si>
  <si>
    <t>SELECT s.ssv_code, s.ssv_Name_English, s.ssv_Name, n.ssn_name, COUNT_BIG(*) AS booking_count, SUM(d.Amount) AS revenue, SUM(d.Amount)/COUNT_BIG(*) AS avg_ticket, s.ssv_amount AS rate_card FROM DailySevaNew d JOIN seva_seva s ON s.ssv_code = d.SevaCode LEFT JOIN seva_sannidhi n ON n.ssn_code = s.ssv_sannidhi WHERE d.Finyear = @finyear AND d.BillCancled = 0 AND d.Deleteflag = 0 GROUP BY s.ssv_code, s.ssv_Name_English, s.ssv_Name, n.ssn_name, s.ssv_amount ORDER BY revenue DESC;</t>
  </si>
  <si>
    <t>For multi-year, UNION ALL the six DailySevaNew&lt;FY&gt; archives into the fact side and EXCLUDE DailySevaNewOld.</t>
  </si>
  <si>
    <t>INTERPRETATION CAUTIONS — these change what the chart means and must reach the UI</t>
  </si>
  <si>
    <t>HUNDIALS (SevaCode 430) is NOT a seva</t>
  </si>
  <si>
    <t>SevaCode = 430</t>
  </si>
  <si>
    <t>13 'bookings' produced Rs 13.40 Cr in FY2025-26 — an average of Rs 1.03 Cr per row.</t>
  </si>
  <si>
    <t>These are hundi donation-box COUNTING EVENTS booked as receipts. It will dominate any 'top seva' chart and must be labelled as donation-box collection, not a purchased service. The dedicated HundiCollection_* tables are empty.</t>
  </si>
  <si>
    <t>Prasadam retail is counted as seva revenue</t>
  </si>
  <si>
    <t>ssn_Type = 'PS'</t>
  </si>
  <si>
    <t>Laddu, Cloth Bag, Panchakajjaya, Theertha Bottle and Maha Prasada together are Rs 27.7 Cr.</t>
  </si>
  <si>
    <t>These are RETAIL PRASADAM SALES, not rituals. The PRASADA (PS) bucket separates them cleanly — split 'sevas' from 'prasadam sales' in the UI or the chart overstates ritual demand.</t>
  </si>
  <si>
    <t>DIRECT ENTRANCE (SevaCode 75) is an entry fee</t>
  </si>
  <si>
    <t>SevaCode = 75</t>
  </si>
  <si>
    <t>29,752 receipts / Rs 1.49 Cr in FY2025-26.</t>
  </si>
  <si>
    <t>A darshan/entry fee, again not a ritual.</t>
  </si>
  <si>
    <t>MultiRecpNo is NOT a receipt-group key</t>
  </si>
  <si>
    <t>MultiRecpNo</t>
  </si>
  <si>
    <t>Do not use it to group a 'basket'.</t>
  </si>
  <si>
    <t>The same value recurs across unrelated receipts with different ReceiptNos.</t>
  </si>
  <si>
    <t>ReceiptNo is nullable and unindexed</t>
  </si>
  <si>
    <t>ReceiptNo varchar(12)</t>
  </si>
  <si>
    <t>Do not rely on it as a key.</t>
  </si>
  <si>
    <t>The natural business key is nullable and appears in no index; the actual PK is (Finyear, TempleCode, SevaCode, MultiRecpNo, ModifiedBy).</t>
  </si>
  <si>
    <t>VERIFIED OUTPUT — FY2025-26 top 10 of 164 sevas (evidence that the report works)</t>
  </si>
  <si>
    <t>430 HUNDIALS</t>
  </si>
  <si>
    <t>13 receipts</t>
  </si>
  <si>
    <t>Rs 13,40,21,747</t>
  </si>
  <si>
    <t>83 LADDU</t>
  </si>
  <si>
    <t>690,189 receipts</t>
  </si>
  <si>
    <t>Rs 7,37,24,400</t>
  </si>
  <si>
    <t>76 CLOTH BAG</t>
  </si>
  <si>
    <t>458,991 receipts</t>
  </si>
  <si>
    <t>Rs 6,64,73,790</t>
  </si>
  <si>
    <t>419 ANNA SANTARPANA DONATION</t>
  </si>
  <si>
    <t>18,979 receipts</t>
  </si>
  <si>
    <t>Rs 5,81,12,487</t>
  </si>
  <si>
    <t>82 PANCHAKAJJAYA</t>
  </si>
  <si>
    <t>377,022 receipts</t>
  </si>
  <si>
    <t>Rs 5,15,28,900</t>
  </si>
  <si>
    <t>81 THEERTHA BOTTLE</t>
  </si>
  <si>
    <t>374,643 receipts</t>
  </si>
  <si>
    <t>Rs 5,15,00,700</t>
  </si>
  <si>
    <t>35 GHEE LAMP</t>
  </si>
  <si>
    <t>391,565 receipts</t>
  </si>
  <si>
    <t>Rs 4,63,53,300</t>
  </si>
  <si>
    <t>26 MOOKAMBIKA ALANKARA POOJA</t>
  </si>
  <si>
    <t>121,120 receipts</t>
  </si>
  <si>
    <t>Rs 3,81,86,100</t>
  </si>
  <si>
    <t>407 CHANDIKA HOMA</t>
  </si>
  <si>
    <t>4,050 receipts</t>
  </si>
  <si>
    <t>Rs 3,60,40,000</t>
  </si>
  <si>
    <t>17 MAHA TRIMADHURA</t>
  </si>
  <si>
    <t>163,740 receipts</t>
  </si>
  <si>
    <t>Rs 3,53,28,660</t>
  </si>
  <si>
    <t>Nirantara Seva Tracking — booked vs. actually conducted</t>
  </si>
  <si>
    <t>New report. Status: PARTIALLY AVAILABLE — bookings are well recorded; execution is not recorded anywhere and cannot be inferred.</t>
  </si>
  <si>
    <t>TERMINOLOGY — 'Nirantara Seva' (continuous/perpetual seva) is this system's SASHWATHA SEVA. All seva_sevakarta* / seva_List* tables belong to that module.</t>
  </si>
  <si>
    <t>VERDICT — Booking information exists, but actual seva execution CANNOT be independently verified from the available data.</t>
  </si>
  <si>
    <t>PART A — WHICH NIRANTARA SEVAS HAVE BEEN BOOKED (largely AVAILABLE)</t>
  </si>
  <si>
    <t>Nirantara / Booking</t>
  </si>
  <si>
    <t>Subscription identifier</t>
  </si>
  <si>
    <t>seva_sevakartaDetails</t>
  </si>
  <si>
    <t>ssk_code, ssk_codeDetails</t>
  </si>
  <si>
    <t>PK (ssk_code, ssk_codeDetails). 6,659 subscription rows.</t>
  </si>
  <si>
    <t>The booking grain. One subscribed seva per row.</t>
  </si>
  <si>
    <t>Subscriber (sevakarta) identity</t>
  </si>
  <si>
    <t>seva_sevakarta JOIN NameMaster</t>
  </si>
  <si>
    <t>ssk_code, ssk_Namecode -&gt; NameMaster.Namecode, Name, MobileNo, Email</t>
  </si>
  <si>
    <t>5,177 subscribers. Verified 0 orphans against NameMaster.</t>
  </si>
  <si>
    <t>Unlike daily sevas, Nirantara subscribers ARE held in the shared party master.</t>
  </si>
  <si>
    <t>Subscriber address / contact</t>
  </si>
  <si>
    <t>seva_sevakarta JOIN AddressMaster</t>
  </si>
  <si>
    <t>ssk_Addresscode -&gt; AddressMaster.Code, Address, Address1..Address5, City, State, Zip, MobileNo</t>
  </si>
  <si>
    <t>Verified 0 orphans against AddressMaster.</t>
  </si>
  <si>
    <t>Data-quality warning: AddressMaster.ModifiedBy is char(10) NOT NULL with DEFAULT getdate() — any insert that omits it writes a truncated date fragment into the audit column. City/State/Country are free-text varchar and cannot hold Kannada.</t>
  </si>
  <si>
    <t>Which seva was subscribed</t>
  </si>
  <si>
    <t>seva_sevakartaDetails JOIN seva_seva</t>
  </si>
  <si>
    <t>ssk_SevaCode -&gt; seva_seva.ssv_code, ssv_Name_English, ssv_Name</t>
  </si>
  <si>
    <t>Resolves to a named seva.</t>
  </si>
  <si>
    <t>Top subscribed: 424 PERMANENT SEVA DEPOSIT (3,538), 26 MOOKAMBIKA ALANKARA POOJA (699), 3 ASHTOTHARA KUMKUMARCHANA (639), 1 SAHASRANAMA KUMKUMARCHANA (618), 6 ASHTOTHARA BHASMARCHANA (363).</t>
  </si>
  <si>
    <t>Seva name in the sankalpa</t>
  </si>
  <si>
    <t>ssk_name_pujaName</t>
  </si>
  <si>
    <t>Free text as recorded.</t>
  </si>
  <si>
    <t>nvarchar(1000).</t>
  </si>
  <si>
    <t>Booking date</t>
  </si>
  <si>
    <t>ssk_Date</t>
  </si>
  <si>
    <t>smalldatetime.</t>
  </si>
  <si>
    <t>Supports a 'subscriptions by booking year' chart.</t>
  </si>
  <si>
    <t>Seva validity period (from / to)</t>
  </si>
  <si>
    <t>SevaFromDate, SevaToDate</t>
  </si>
  <si>
    <t>Present on the subscription row.</t>
  </si>
  <si>
    <t>Recurrence specification — lunar (Chandramana)</t>
  </si>
  <si>
    <t>seva_sevakartaDetails JOIN seva_masa / seva_paksha / seva_nakshatra / seva_tithi / seva_weekday</t>
  </si>
  <si>
    <t>ssk_Chandra flag; ssk_CHANDRA_MASA, _PAKSHA, _NAKSHATRA, _THITHI, _WEEK, _WEEK_DAY</t>
  </si>
  <si>
    <t>Resolve each code against its panchanga dimension table.</t>
  </si>
  <si>
    <t>The recurrence is stored three ways in parallel; ssk_Chandra / ssk_Surya / ssk_English select which calendar governs.</t>
  </si>
  <si>
    <t>Recurrence specification — solar (Souramana)</t>
  </si>
  <si>
    <t>seva_sevakartaDetails JOIN seva_masa_surya / seva_nakshatra</t>
  </si>
  <si>
    <t>ssk_Surya flag; ssk_SURYA_MASA, _NAKSHATRA, _WEEK, _WEEK_DAY, _DAY</t>
  </si>
  <si>
    <t>Recurrence specification — Gregorian</t>
  </si>
  <si>
    <t>ssk_English flag; ssk_EnglishWeeklyDay, ssk_EnglishYearKramanka/Week/Month/Day, ssk_EnglishMonthKramanka/Week, ssk_EnglishYearFlag, ssk_EnglishMonthFlag</t>
  </si>
  <si>
    <t>Family members named in the sankalpa</t>
  </si>
  <si>
    <t>ssk_seva_Familydetails</t>
  </si>
  <si>
    <t>(5,275 rows)</t>
  </si>
  <si>
    <t>Child of seva_sevakartaDetails.</t>
  </si>
  <si>
    <t>Number of sevas subscribed</t>
  </si>
  <si>
    <t>NoOfSeva</t>
  </si>
  <si>
    <t>Values: 1 on 5,285 rows, 0 on 1,373 rows, -1 on 1 row.</t>
  </si>
  <si>
    <t>1,373 rows carry NoOfSeva = 0 and one row carries an invalid -1. Guard the denominator if this is ever used in a ratio.</t>
  </si>
  <si>
    <t>Renewal record</t>
  </si>
  <si>
    <t>seva_RWsevakartaDetails</t>
  </si>
  <si>
    <t>ssk_code, ssk_codeDetails, Renslno</t>
  </si>
  <si>
    <t>An 86-column near-copy of the 94-column subscription table, same 6,659 rows.</t>
  </si>
  <si>
    <t>A renewal cycle implemented by cloning a 94-column table. Renewal = 0 on every subscription, so nothing has ever been renewed in the data.</t>
  </si>
  <si>
    <t>WHICH sevas are classified as Nirantara/perpetual</t>
  </si>
  <si>
    <t>seva_seva; seva_period</t>
  </si>
  <si>
    <t>ssv_period -&gt; seva_period.spr_code</t>
  </si>
  <si>
    <t>The intended classifier. seva_period holds exactly the right archetypes: SEVA_SASHWATHAPUJA, SEVA_YEARLYONECE, SEVA_PORNAMIPUJA, SEVA_AMAWAYAPUJA, SEVA_EVERYMASA and three more.</t>
  </si>
  <si>
    <t>GAP I4 — seva_seva.ssv_period is NULL on ALL 164 SEVAS. The seva_period lookup is joined to nothing. The only way to identify Nirantara sevas is EMPIRICALLY, from which sevas actually carry subscriptions. ssv_code 424 'PERMANENT SEVA DEPOSIT' (53% of all subscriptions) is the clearest marker. Recommend maintaining an explicit seva-classification map in the Temple Registry.</t>
  </si>
  <si>
    <t>Endowment corpus / deposit amount</t>
  </si>
  <si>
    <t>FDAMOUNT</t>
  </si>
  <si>
    <t>The deposit whose interest funds the perpetual seva.</t>
  </si>
  <si>
    <t>GAP I5 — all 6,659 rows have a non-NULL FDAMOUNT but ZERO rows have a POSITIVE value. The corpus that funds the seva has no amount recorded, so corpus reporting is impossible.</t>
  </si>
  <si>
    <t>PART B — PAYMENT AGAINST BOOKINGS (PARTIALLY AVAILABLE — stops at FY2023-24)</t>
  </si>
  <si>
    <t>Nirantara / Payment</t>
  </si>
  <si>
    <t>Payment receipt and amount</t>
  </si>
  <si>
    <t>seva_sevakartaPayment</t>
  </si>
  <si>
    <t>ReceiptNo, ReceiptDate, Finyear, ssk_TotalAmount, ssk_TotalAmtpaid</t>
  </si>
  <si>
    <t>5,219 receipts; ssk_TotalAmtpaid = ssk_TotalAmount on every row (no partial payments recorded).</t>
  </si>
  <si>
    <t>GAP I2 / CRITICAL FOR ACCURACY — ZERO payment rows for FY2024-25, FY2025-26 and FY2026-27, while seva_List_Fridaypooja continues to schedule Rs 10.88 Cr (FY2025-26) and Rs 3.55 Cr (FY2026-27). Either collection moved to another system or recording simply stopped. Recent-year Nirantara revenue MUST be rendered as 'not recorded', NEVER as Rs 0.</t>
  </si>
  <si>
    <t>Payment mode / reference</t>
  </si>
  <si>
    <t>seva_sevakartaPaymentdet</t>
  </si>
  <si>
    <t>ssk_PaymentType, ssk_RefNo, ssk_RefDate</t>
  </si>
  <si>
    <t>5,247 detail rows.</t>
  </si>
  <si>
    <t>Same FY2023-24 cut-off as the header.</t>
  </si>
  <si>
    <t>Nirantara revenue by FY (recorded)</t>
  </si>
  <si>
    <t>ssk_TotalAmount, Finyear</t>
  </si>
  <si>
    <t>SUM GROUP BY Finyear.</t>
  </si>
  <si>
    <t>Recorded series: FY2017-18 Rs 2.02 Cr, FY2020-21 Rs 0.09 Cr, FY2021-22 Rs 0.19 Cr, FY2022-23 Rs 0.07 Cr, FY2023-24 Rs 0.85 Cr, then nothing. Earliest ReceiptDate is 1955-01-18, which is invalid — bound every query to a sane date window.</t>
  </si>
  <si>
    <t>Scheduled (expected) amount</t>
  </si>
  <si>
    <t>seva_List_Fridaypooja</t>
  </si>
  <si>
    <t>Amount, seva_Date</t>
  </si>
  <si>
    <t>SUM(Amount) GROUP BY FY of seva_Date.</t>
  </si>
  <si>
    <t>This is a SCHEDULED/EXPECTED amount, not a received payment. It cannot be reconciled against seva_sevakartaPayment and must never be presented as revenue.</t>
  </si>
  <si>
    <t>Booking vs payment as separate events</t>
  </si>
  <si>
    <t>seva_sevakartaDetails vs seva_sevakartaPayment</t>
  </si>
  <si>
    <t>Unlike daily sevas (where a receipt IS the payment), Nirantara booking and payment are genuinely distinct.</t>
  </si>
  <si>
    <t>They diverge badly after FY2023-24 — payment coverage does not match booking coverage.</t>
  </si>
  <si>
    <t>PART C — SCHEDULING (AVAILABLE — but this is NOT execution)</t>
  </si>
  <si>
    <t>Nirantara / Schedule</t>
  </si>
  <si>
    <t>Materialised due dates</t>
  </si>
  <si>
    <t>seva_List</t>
  </si>
  <si>
    <t>ssk_code, ssk_codeDetails, seva_Date</t>
  </si>
  <si>
    <t>15,091 rows spanning 2022-01-01 to 2026-12-31.</t>
  </si>
  <si>
    <t>PK (ssk_code, ssk_codeDetails, seva_Date) — the correct grain.</t>
  </si>
  <si>
    <t>Friday-pooja cycle schedule</t>
  </si>
  <si>
    <t>ssk_codeDetails, ssk_SevaCode, seva_Date, Amount</t>
  </si>
  <si>
    <t>317,892 rows, 2019-05-01 to 2027-07-26.</t>
  </si>
  <si>
    <t>Keyed (ssk_codeDetails, ssk_SevaCode, seva_Date) with seva_Date LAST, so date-range scheduling queries — the table's primary use — cannot seek. Contains 17,808 FUTURE-dated rows; any 'performed' or 'revenue' measure must filter seva_Date &lt;= CURRENT_DATE.</t>
  </si>
  <si>
    <t>PART D — ARE THE BOOKED SEVAS ACTUALLY BEING CONDUCTED? (NOT AVAILABLE — full evidence below)</t>
  </si>
  <si>
    <t>Nirantara / Execution</t>
  </si>
  <si>
    <t>Seva performed flag</t>
  </si>
  <si>
    <t>seva_Prepared</t>
  </si>
  <si>
    <t>The intended execution signal.</t>
  </si>
  <si>
    <t>EVIDENCE (a): seva_Prepared = 0 on ALL 15,091 rows. There is no second row in that result — every scheduled Nirantara seva across five years is flagged not-prepared.</t>
  </si>
  <si>
    <t>Seva closed / completed flag</t>
  </si>
  <si>
    <t>Seve_closed</t>
  </si>
  <si>
    <t>EVIDENCE (a): Seve_closed = 0 on all 15,091 rows.</t>
  </si>
  <si>
    <t>Intimation letter printed</t>
  </si>
  <si>
    <t>LetterPrinted</t>
  </si>
  <si>
    <t>EVIDENCE (a): LetterPrinted = 0 on all 15,091 rows.</t>
  </si>
  <si>
    <t>Attendance record</t>
  </si>
  <si>
    <t>Sevaattendedlist</t>
  </si>
  <si>
    <t>ssk_codeDetails, seva_Date</t>
  </si>
  <si>
    <t>The purpose-built attendance table, keyed at exactly the right grain.</t>
  </si>
  <si>
    <t>EVIDENCE (b): the table is EMPTY — 0 rows.</t>
  </si>
  <si>
    <t>Count of sevas actually issued</t>
  </si>
  <si>
    <t>NoOfSevaIssue</t>
  </si>
  <si>
    <t>The 'sevas issued' counter.</t>
  </si>
  <si>
    <t>EVIDENCE (c): NoOfSevaIssue = 0 on ALL 6,659 subscriptions. It is never incremented.</t>
  </si>
  <si>
    <t>seva_Prepared on the Friday-pooja table (the tempting false positive)</t>
  </si>
  <si>
    <t>seva_Prepared, Printed, Returned</t>
  </si>
  <si>
    <t>Looks promising: seva_Prepared = 1 on ~100% of 317,892 rows.</t>
  </si>
  <si>
    <t>EVIDENCE (d) — DECISIVE: seva_Prepared = 1 on 17,808 FUTURE-DATED rows, including dates into 2027. A flag already set for rituals that have not yet occurred CANNOT mean 'the ritual was performed'; it means 'the schedule row was generated'. Do NOT substitute it for execution.</t>
  </si>
  <si>
    <t>Printed flag (closest available proxy)</t>
  </si>
  <si>
    <t>Printed</t>
  </si>
  <si>
    <t>Printed = 1 on 90,929 past rows and never on future rows.</t>
  </si>
  <si>
    <t>The only column whose pattern is consistent with something having happened — but it records that an intimation letter or receipt was PRINTED, not that the ritual took place. Usable at most as a weak, explicitly-labelled proxy. Returned = 0 everywhere.</t>
  </si>
  <si>
    <t>Date performed / performed by / officiating priest</t>
  </si>
  <si>
    <t>No such column exists anywhere in the module.</t>
  </si>
  <si>
    <t>GAP C4.</t>
  </si>
  <si>
    <t>Missed / pending / unfulfilled sevas</t>
  </si>
  <si>
    <t>Requires a performed/not-performed signal.</t>
  </si>
  <si>
    <t>NOT DERIVABLE — everything before today is indistinguishable from everything after.</t>
  </si>
  <si>
    <t>Fulfilment rate / completion %</t>
  </si>
  <si>
    <t>MUST NOT BE SHOWN. Any such figure would be fabricated.</t>
  </si>
  <si>
    <t>PART E — STATUS AND LIFECYCLE (NOT AVAILABLE — every status column is constant)</t>
  </si>
  <si>
    <t>Nirantara / Status</t>
  </si>
  <si>
    <t>Active vs lapsed subscription</t>
  </si>
  <si>
    <t>ACTIVE</t>
  </si>
  <si>
    <t>EVIDENCE (e): ACTIVE = 1 on ALL 6,659 rows. Nothing in the data distinguishes an active subscription from a lapsed one.</t>
  </si>
  <si>
    <t>Cancelled / closed subscription</t>
  </si>
  <si>
    <t>SEVACLOSED</t>
  </si>
  <si>
    <t>GAP I3 / EVIDENCE (e): SEVACLOSED = 0 on all 6,659 rows. No cancellation has ever been recorded. Omit the status widget entirely.</t>
  </si>
  <si>
    <t>Renewed subscription</t>
  </si>
  <si>
    <t>Renewal</t>
  </si>
  <si>
    <t>EVIDENCE (e): Renewal = 0 on all 6,659 rows, despite a whole mirror table (seva_RWsevakartaDetails) existing for renewals.</t>
  </si>
  <si>
    <t>Payment flag</t>
  </si>
  <si>
    <t>paymentflag</t>
  </si>
  <si>
    <t>Values: 'P' on 6,625 rows, 'S' on 34.</t>
  </si>
  <si>
    <t>Effectively constant; carries almost no information.</t>
  </si>
  <si>
    <t>PART F — WHAT THE WIDGET MAY AND MAY NOT SHOW</t>
  </si>
  <si>
    <t>Nirantara / Widget rules</t>
  </si>
  <si>
    <t>MAY show: subscription count, subscriber count, seva mix, booking dates, recurrence pattern</t>
  </si>
  <si>
    <t>seva_sevakartaDetails, seva_sevakarta, seva_seva</t>
  </si>
  <si>
    <t>All directly supported.</t>
  </si>
  <si>
    <t>MAY show: historical payments through FY2023-24, clearly bounded</t>
  </si>
  <si>
    <t>Label the cut-off explicitly.</t>
  </si>
  <si>
    <t>MAY show: earliest / latest booking, last recorded payment FY</t>
  </si>
  <si>
    <t>seva_sevakartaDetails, seva_sevakartaPayment</t>
  </si>
  <si>
    <t>ssk_Date, ReceiptDate</t>
  </si>
  <si>
    <t>MIN/MAX, bounded to a sane date window.</t>
  </si>
  <si>
    <t>Bound to &gt;= 2015-01-01 — the raw MIN is 1955-01-18 and is invalid.</t>
  </si>
  <si>
    <t>MUST NOT show: fulfilment %, missed count, completion status, active-vs-cancelled split</t>
  </si>
  <si>
    <t>Carry a prominent caveat on the widget: 'Execution of these sevas is not recorded in the source system; only bookings are shown.'</t>
  </si>
  <si>
    <t>PART G — THE FIX (no schema design is needed; the plumbing already exists and is unused)</t>
  </si>
  <si>
    <t>Nirantara / Remediation</t>
  </si>
  <si>
    <t>Option 1 (preferred): start setting the existing flags at source</t>
  </si>
  <si>
    <t>seva_List; Sevaattendedlist; seva_sevakartaDetails</t>
  </si>
  <si>
    <t>seva_Prepared, Seve_closed; (ssk_codeDetails, seva_Date); NoOfSevaIssue</t>
  </si>
  <si>
    <t>Change the temple's operational process so the daily seva list is marked off. No schema change required.</t>
  </si>
  <si>
    <t>Three unused boolean columns at the right grain, an empty attendance table at exactly the right grain, and an unused issued-count column. Someone needs to start setting them. Requires the temple's software vendor and a workflow change.</t>
  </si>
  <si>
    <t>Option 2: fulfilment-confirmation screen in the Temple Registry</t>
  </si>
  <si>
    <t>(new registry table)</t>
  </si>
  <si>
    <t>(ssk_code, ssk_codeDetails, seva_date, performed, performed_at, performed_by)</t>
  </si>
  <si>
    <t>Within this programme's control.</t>
  </si>
  <si>
    <t>Creates a second record of truth and depends on staff double-entry. Either way HISTORY CANNOT BE RECOVERED — fulfilment reporting can only begin from the day capture starts. This is the single highest-value data-capture change available to the programme.</t>
  </si>
  <si>
    <t>Every figure the dashboard computes rather than reads, with the underlying source data each one needs.</t>
  </si>
  <si>
    <t>Derived Metric</t>
  </si>
  <si>
    <t>Calculation / Formula</t>
  </si>
  <si>
    <t>Source Data Required (table.column)</t>
  </si>
  <si>
    <t>W1</t>
  </si>
  <si>
    <t>Revenue in Rs Crore</t>
  </si>
  <si>
    <t>SUM(Amount) / 1,00,00,000</t>
  </si>
  <si>
    <t>DailySevaNew.Amount</t>
  </si>
  <si>
    <t>Mock rounds to 1-2 dp; keep full precision in the store and format at the edge.</t>
  </si>
  <si>
    <t>Year-on-year growth %</t>
  </si>
  <si>
    <t>(rev_FY - rev_FY-1) / rev_FY-1 x 100</t>
  </si>
  <si>
    <t>DailySevaNew.Amount, Finyear</t>
  </si>
  <si>
    <t>FY2025-26 was +8.6% over FY2024-25. Guard the denominator; FY2019-20 has no prior year in the data.</t>
  </si>
  <si>
    <t>Net revenue</t>
  </si>
  <si>
    <t>gross - cancelled</t>
  </si>
  <si>
    <t>DailySevaNew.Amount, BillCancled</t>
  </si>
  <si>
    <t>The only reversal available; no refunds exist.</t>
  </si>
  <si>
    <t>Partial-year handling for FY2026-27</t>
  </si>
  <si>
    <t>Do NOT annualise</t>
  </si>
  <si>
    <t>DailySevaNew.ReceiptDate (max 2026-07-26)</t>
  </si>
  <si>
    <t>Data ends 2026-07-26. Label with an asterisk as the mock does; never extrapolate silently.</t>
  </si>
  <si>
    <t>W2</t>
  </si>
  <si>
    <t>Monthly revenue</t>
  </si>
  <si>
    <t>SUM(Amount) GROUP BY YEAR(ReceiptDate), MONTH(ReceiptDate)</t>
  </si>
  <si>
    <t>DailySevaNew.Amount, ReceiptDate</t>
  </si>
  <si>
    <t>Replaces the seeded monthlySplitFor() generator entirely.</t>
  </si>
  <si>
    <t>Average revenue per day in a month</t>
  </si>
  <si>
    <t>monthly_revenue / days_elapsed_in_month</t>
  </si>
  <si>
    <t>DailySevaNew.ReceiptDate</t>
  </si>
  <si>
    <t>Use days ELAPSED, not days in month, for the current month.</t>
  </si>
  <si>
    <t>W3</t>
  </si>
  <si>
    <t>Cash / non-digital share %</t>
  </si>
  <si>
    <t>COUNT(no card AND no bank) x 100.0 / COUNT(*)</t>
  </si>
  <si>
    <t>DailySevaNew.CardNo, BankName</t>
  </si>
  <si>
    <t>99.99997% for FY2025-26. Inferred from absence — relabel as 'no digital payment recorded'.</t>
  </si>
  <si>
    <t>Cash amount (Rs Cr)</t>
  </si>
  <si>
    <t>SUM(Amount) over the non-digital subset</t>
  </si>
  <si>
    <t>DailySevaNew.Amount, CardNo, BankName</t>
  </si>
  <si>
    <t>Prefer summing the subset over multiplying the total by the share, as the mock does.</t>
  </si>
  <si>
    <t>W4</t>
  </si>
  <si>
    <t>Overall DC fund utilisation %</t>
  </si>
  <si>
    <t>SUM(spent) / SUM(approved) x 100</t>
  </si>
  <si>
    <t>(no source)</t>
  </si>
  <si>
    <t>GAP C2/C3 — both inputs are missing.</t>
  </si>
  <si>
    <t>W5</t>
  </si>
  <si>
    <t>Share of total income per source %</t>
  </si>
  <si>
    <t>source_revenue / total_revenue x 100</t>
  </si>
  <si>
    <t>DailySevaNew.Amount, seva_seva.ssv_code</t>
  </si>
  <si>
    <t>Decide the period deliberately — the mock says 'all years combined' but its numbers match no real period.</t>
  </si>
  <si>
    <t>'Other' bucket for sources outside the top N</t>
  </si>
  <si>
    <t>total - SUM(top N)</t>
  </si>
  <si>
    <t>164 sevas; a top-5 donut hides 159. Always show the remainder.</t>
  </si>
  <si>
    <t>W6</t>
  </si>
  <si>
    <t>Net surplus / deficit</t>
  </si>
  <si>
    <t>income - expenditure</t>
  </si>
  <si>
    <t>(no expenditure source)</t>
  </si>
  <si>
    <t>NOT DERIVABLE. GAP C1.</t>
  </si>
  <si>
    <t>Category share of total spend %</t>
  </si>
  <si>
    <t>category_spend / total_spend x 100</t>
  </si>
  <si>
    <t>GAP C1 — only category NAMES exist (BudgetMainGroupMaster), never amounts.</t>
  </si>
  <si>
    <t>W7</t>
  </si>
  <si>
    <t>Per-fund utilisation %</t>
  </si>
  <si>
    <t>spent_FY / approved_FY x 100</t>
  </si>
  <si>
    <t>W8</t>
  </si>
  <si>
    <t>Work progress %</t>
  </si>
  <si>
    <t>spentL / approvedL x 100</t>
  </si>
  <si>
    <t>W9</t>
  </si>
  <si>
    <t>Items donated per FY</t>
  </si>
  <si>
    <t>COUNT(*) GROUP BY Finyear</t>
  </si>
  <si>
    <t>HKanikeItems.Finyear, BillCancel, Deleteflag</t>
  </si>
  <si>
    <t>Render FY2021-22 and FY2022-23 as GAPS (no rows), not as zero.</t>
  </si>
  <si>
    <t>W10</t>
  </si>
  <si>
    <t>Estimated value = items x Rs 12,000</t>
  </si>
  <si>
    <t>count x ASSUMED_VALUE_PER_ITEM_RS</t>
  </si>
  <si>
    <t>HKanikeItems.Rate, Amount (both zero post-FY2015-16)</t>
  </si>
  <si>
    <t>GAP C5 — the multiplier is invented. Remove the chart rather than re-base it.</t>
  </si>
  <si>
    <t>W11</t>
  </si>
  <si>
    <t>Estimated weight = items x 15 g</t>
  </si>
  <si>
    <t>count x ASSUMED_WEIGHT_PER_ITEM_GRAMS</t>
  </si>
  <si>
    <t>HKanikeItems.Qty (real grams), InKgs</t>
  </si>
  <si>
    <t>REPLACE the assumption with SUM(Qty)/1000 kg GROUP BY Finyear, ssg_Itemslno. Real weight exists and is better than the estimate.</t>
  </si>
  <si>
    <t>W12</t>
  </si>
  <si>
    <t>Bookings and revenue per special seva</t>
  </si>
  <si>
    <t>COUNT(*), SUM(Amount) GROUP BY ssv_code</t>
  </si>
  <si>
    <t>DailySevaNew.Amount, SevaCode; seva_seva.ssv_amount</t>
  </si>
  <si>
    <t>Exposes that two of the mock's five headline special sevas had zero bookings.</t>
  </si>
  <si>
    <t>W13</t>
  </si>
  <si>
    <t>SUM(Amount) / COUNT_BIG(*)</t>
  </si>
  <si>
    <t>DailySevaNew.Amount, SevaCode</t>
  </si>
  <si>
    <t>Overall average receipt was Rs 229 in FY2025-26.</t>
  </si>
  <si>
    <t>Seva % of FY total</t>
  </si>
  <si>
    <t>seva_revenue / FY_total x 100</t>
  </si>
  <si>
    <t>DailySevaNew.Amount, Finyear, SevaCode</t>
  </si>
  <si>
    <t>W14</t>
  </si>
  <si>
    <t>Nirantara fulfilment rate</t>
  </si>
  <si>
    <t>performed / scheduled x 100</t>
  </si>
  <si>
    <t>(no performed signal)</t>
  </si>
  <si>
    <t>GAP C4 — NOT DERIVABLE and must not be shown.</t>
  </si>
  <si>
    <t>Nirantara subscriptions per seva</t>
  </si>
  <si>
    <t>COUNT(*) GROUP BY ssk_SevaCode</t>
  </si>
  <si>
    <t>seva_sevakartaDetails.ssk_SevaCode</t>
  </si>
  <si>
    <t>Nirantara revenue by FY</t>
  </si>
  <si>
    <t>SUM(ssk_TotalAmount) GROUP BY Finyear</t>
  </si>
  <si>
    <t>seva_sevakartaPayment.ssk_TotalAmount, Finyear</t>
  </si>
  <si>
    <t>Valid only through FY2023-24; later years must read 'not recorded', never Rs 0.</t>
  </si>
  <si>
    <t>Cross-cutting</t>
  </si>
  <si>
    <t>Total income across all streams</t>
  </si>
  <si>
    <t>seva receipts + auction proceeds (+ saree donations shown separately)</t>
  </si>
  <si>
    <t>DailySevaNew.Amount; SareeAuction.AuctionAmt; SareeDonation.SareeValueDonor</t>
  </si>
  <si>
    <t>Do NOT sum all three. Saree donation and saree auction are the same physical sarees at two stages — summing double-counts. Recommended headline: Rs 90.62 Cr cash receipts, auction shown separately, saree donations shown as in-kind.</t>
  </si>
  <si>
    <t>Cancellation rate</t>
  </si>
  <si>
    <t>cancelled_count / total_count x 100</t>
  </si>
  <si>
    <t>DailySevaNew.BillCancled</t>
  </si>
  <si>
    <t>22 of 3,950,072 in FY2025-26. Low, but a useful integrity signal for the DC office.</t>
  </si>
  <si>
    <t>Data-currency badge</t>
  </si>
  <si>
    <t>MAX(ReceiptDate) and extraction timestamp</t>
  </si>
  <si>
    <t>DailySevaNew.ReceiptDate; ETL metadata</t>
  </si>
  <si>
    <t>Latest activity anywhere in the database is 2026-07-26 — roughly seven weeks before analysis. Surface this so the DC office is never misled about freshness.</t>
  </si>
  <si>
    <t>Data required by the dashboard that the Soham database does not hold, plus the data-quality defects the pipeline must handle.</t>
  </si>
  <si>
    <t>Gap ID</t>
  </si>
  <si>
    <t>Severity</t>
  </si>
  <si>
    <t>Missing Data Element</t>
  </si>
  <si>
    <t>Required By (dashboard element)</t>
  </si>
  <si>
    <t>Why It Is Missing / Evidence</t>
  </si>
  <si>
    <t>Derivable?</t>
  </si>
  <si>
    <t>Where It Must Come From</t>
  </si>
  <si>
    <t>CRITICAL — the report cannot be generated at all</t>
  </si>
  <si>
    <t>C1</t>
  </si>
  <si>
    <t>Critical</t>
  </si>
  <si>
    <t>Expense transactions — amount, date, category, payee, description</t>
  </si>
  <si>
    <t>Widget 6: total expenditure, net surplus, 7-category chart, top-10 line items</t>
  </si>
  <si>
    <t>There is NO expenditure data in Soham. FN_TRANSACTION holds income postings only (FY2025-26: two accounts, both sides of saree-auction sales, Rs 2.32 Cr = 2.6% of the temple's money). FN_VOUCHERPAYEMENT has 0 rows despite a 31-parameter stored procedure and a View_Voucher view.</t>
  </si>
  <si>
    <t>New capture in the Temple Registry, or a different temple accounting system. Reuse BudgetMainGroupMaster's 16 Kannada heads as the taxonomy.</t>
  </si>
  <si>
    <t>C2</t>
  </si>
  <si>
    <t>Government / DC grant master — fund name, category, sanction order no., approving authority, approved amount per FY</t>
  </si>
  <si>
    <t>Widget 7 and the Widget 4 gauge</t>
  </si>
  <si>
    <t>No such table exists in Soham OR in the Temple Registry. Every value in the mock is generated by fundMetaFor() from a hash of the temple code.</t>
  </si>
  <si>
    <t>New Temple Registry module. This is DC-office data, not temple-POS data, so the DC office can capture it directly.</t>
  </si>
  <si>
    <t>C3</t>
  </si>
  <si>
    <t>Grant utilisation — spent per fund per FY, invoice no., description, proof document</t>
  </si>
  <si>
    <t>Widget 7 drill-down and utilisation-proof receipt/photo</t>
  </si>
  <si>
    <t>No invoice, vendor, work-order or purchase table in either database. The registry's contractors table is master data with no amounts.</t>
  </si>
  <si>
    <t>New Temple Registry module; the existing documents table can hold the scans.</t>
  </si>
  <si>
    <t>C4</t>
  </si>
  <si>
    <t>Nirantara Seva execution record — performed yes/no, date, by whom</t>
  </si>
  <si>
    <t>Widget 14 fulfilment; the explicit requirement 'are the booked sevas actually being conducted?'</t>
  </si>
  <si>
    <t>seva_List.seva_Prepared / Seve_closed / LetterPrinted are ALL 0 on all 15,091 rows; Sevaattendedlist is empty; NoOfSevaIssue = 0 on all 6,659 subscriptions; and seva_List_Fridaypooja.seva_Prepared = 1 on 17,808 FUTURE-dated rows, proving it means 'schedule generated'.</t>
  </si>
  <si>
    <t>Source-system change at Kollur (preferred — the unused columns already exist at the right grain), or a new fulfilment-capture screen in the registry. History cannot be recovered either way.</t>
  </si>
  <si>
    <t>C5</t>
  </si>
  <si>
    <t>Gold/silver valuation — per-item rate or purity</t>
  </si>
  <si>
    <t>Widget 10 (estimated value)</t>
  </si>
  <si>
    <t>HKanikeItems.Rate and Amount are ZERO on every row after FY2015-16; Purity is an empty string on all 2,225 rows although PurityMaster defines 9 grades.</t>
  </si>
  <si>
    <t>An appraisal process plus capture at source. Cannot be back-filled. Remove the chart until then.</t>
  </si>
  <si>
    <t>IMPORTANT — the report works but is limited or must carry a caveat</t>
  </si>
  <si>
    <t>I1</t>
  </si>
  <si>
    <t>High</t>
  </si>
  <si>
    <t>Payment mode (cash / card / UPI / cheque)</t>
  </si>
  <si>
    <t>Widget 3</t>
  </si>
  <si>
    <t>DailySevaNew has no payment-mode column; only free-text CardNo / BankName / RemarksBanking, effectively unused. SareeDonation and SareeAuction do have TranType, so the omission is inconsistent.</t>
  </si>
  <si>
    <t>Inferred only</t>
  </si>
  <si>
    <t>Relabel the widget to 'no digital payment recorded'; add PaymentMode tinyint at source.</t>
  </si>
  <si>
    <t>I2</t>
  </si>
  <si>
    <t>Nirantara payments from FY2024-25 onward</t>
  </si>
  <si>
    <t>Widget 14 revenue</t>
  </si>
  <si>
    <t>seva_sevakartaPayment has ZERO rows for FY2024-25, FY2025-26 and FY2026-27, while seva_List_Fridaypooja keeps scheduling Rs 10.88 Cr (FY2025-26).</t>
  </si>
  <si>
    <t>Investigate whether collection moved to another system. Until then show 'not recorded', never Rs 0.</t>
  </si>
  <si>
    <t>I3</t>
  </si>
  <si>
    <t>Medium</t>
  </si>
  <si>
    <t>Nirantara cancellation / active status</t>
  </si>
  <si>
    <t>Widget 14 status split</t>
  </si>
  <si>
    <t>ACTIVE = 1, SEVACLOSED = 0 and Renewal = 0 on all 6,659 rows. The columns are modelled but never used.</t>
  </si>
  <si>
    <t>Maintain ACTIVE / SEVACLOSED at source. Until then, omit the status widget entirely.</t>
  </si>
  <si>
    <t>I4</t>
  </si>
  <si>
    <t>Perpetual-seva classifier</t>
  </si>
  <si>
    <t>Identifying which sevas are Nirantara</t>
  </si>
  <si>
    <t>seva_seva.ssv_period is NULL on all 164 sevas, so the seva_period lookup (which holds exactly the right archetypes) is joined to nothing.</t>
  </si>
  <si>
    <t>Partially</t>
  </si>
  <si>
    <t>Infer empirically from subscription membership today; maintain an explicit seva-classification map in the Temple Registry.</t>
  </si>
  <si>
    <t>I5</t>
  </si>
  <si>
    <t>Endowment corpus (FDAMOUNT)</t>
  </si>
  <si>
    <t>Nirantara corpus value</t>
  </si>
  <si>
    <t>Non-NULL on all 6,659 rows but POSITIVE on zero of them.</t>
  </si>
  <si>
    <t>Capture at source if corpus reporting is wanted.</t>
  </si>
  <si>
    <t>I6</t>
  </si>
  <si>
    <t>Net revenue on every revenue widget</t>
  </si>
  <si>
    <t>No refund table, no negative amounts anywhere in the database.</t>
  </si>
  <si>
    <t>Treat cancellation as the only reversal and state explicitly that net = gross - cancelled.</t>
  </si>
  <si>
    <t>I7</t>
  </si>
  <si>
    <t>Ongoing works / projects</t>
  </si>
  <si>
    <t>Widget 8</t>
  </si>
  <si>
    <t>No project/works table in either database.</t>
  </si>
  <si>
    <t>New Temple Registry module, paired with C2/C3.</t>
  </si>
  <si>
    <t>I8</t>
  </si>
  <si>
    <t>Temple 300001 &lt;-&gt; Soham TempleCode 43 link</t>
  </si>
  <si>
    <t>Every query on the dashboard</t>
  </si>
  <si>
    <t>The mapping is recorded in NEITHER database — it currently exists only in the head of whoever writes the ETL.</t>
  </si>
  <si>
    <t>A configuration/mapping table (proposed temple_source_system_map). Without it the integration is hard-coded and cannot extend to a second temple.</t>
  </si>
  <si>
    <t>DATA-QUALITY DEFECTS THAT MUST BE HANDLED IN THE PIPELINE</t>
  </si>
  <si>
    <t>Q1</t>
  </si>
  <si>
    <t>DailySevaNewDetails money columns are unreliable</t>
  </si>
  <si>
    <t>Any seva-level revenue figure</t>
  </si>
  <si>
    <t>TotalAmount (Rs 53.78 Cr) understates the header (Rs 90.62 Cr) by 41% for FY2025-26 and disagrees with its own Amount x Qty (Rs 56.31 Cr). Header and detail are 1:1 with 0 orphans, so records are not missing — the table is internally inconsistent.</t>
  </si>
  <si>
    <t>Use DailySevaNew.Amount only. Use the detail table for line-item composition, never for money.</t>
  </si>
  <si>
    <t>Q2</t>
  </si>
  <si>
    <t>DailySevaNewOld duplicates every archive</t>
  </si>
  <si>
    <t>Any multi-year revenue series</t>
  </si>
  <si>
    <t>16,982,270 rows identical to the six per-year archives combined, same Finyear values and same per-year counts. 4.7 GB, ~31% of the data file.</t>
  </si>
  <si>
    <t>Exclude it EXPLICITLY in every query. One mistake here doubles all history.</t>
  </si>
  <si>
    <t>Q3</t>
  </si>
  <si>
    <t>No date index on any archive table</t>
  </si>
  <si>
    <t>Any historical date-range filter</t>
  </si>
  <si>
    <t>Only 3 non-PK indexes exist across ~50 M rows; idx_ReceiptDate is on the live DailySevaNew alone. FN_TRANSACTION has no index on Trdate, ReceiptNo or TrAccCodeDRCR.</t>
  </si>
  <si>
    <t>Forces a scheduled-ETL-to-aggregates architecture; live multi-year queries are multi-GB scans.</t>
  </si>
  <si>
    <t>Q4</t>
  </si>
  <si>
    <t>Zero foreign keys, unique constraints and check constraints</t>
  </si>
  <si>
    <t>Integrity of every join</t>
  </si>
  <si>
    <t>122 of 167 tables have no primary key; 121 are heaps. Integrity is enforced only by application code. Spot checks are currently clean (0 orphan SevaCodes, 0 orphan detail rows on the live pair), but nothing prevents future drift.</t>
  </si>
  <si>
    <t>Validate referential integrity on every ETL run and alert on orphans.</t>
  </si>
  <si>
    <t>Q5</t>
  </si>
  <si>
    <t>Invalid and impossible dates</t>
  </si>
  <si>
    <t>Any MIN() or unbounded date range</t>
  </si>
  <si>
    <t>HKanikeItems.ssg_receiptdate earliest 1969-09-26; seva_sevakartaPayment.ReceiptDate earliest 1955-01-18; FN_TRANSACTION rows dated 2004-12-26 carry Finyear = 20252026.</t>
  </si>
  <si>
    <t>Bound every financial query to ReceiptDate &gt;= '2015-01-01' rather than trusting MIN().</t>
  </si>
  <si>
    <t>Q6</t>
  </si>
  <si>
    <t>Future-dated schedule rows</t>
  </si>
  <si>
    <t>Any 'performed' or Nirantara revenue measure</t>
  </si>
  <si>
    <t>seva_List_Fridaypooja extends to 2027-07-26 and seva_List to 2026-12-31. These are legitimate forward schedules, not errors.</t>
  </si>
  <si>
    <t>Filter seva_Date &lt;= CURRENT_DATE. DailySevaNew itself contains NO future-dated receipts (verified 0).</t>
  </si>
  <si>
    <t>Q7</t>
  </si>
  <si>
    <t>Gold/silver coverage gaps</t>
  </si>
  <si>
    <t>Widget 9</t>
  </si>
  <si>
    <t>FY2021-22 and FY2022-23 have zero HKanikeItems rows; FY2015-16 holds 1,666 items (an opening-stock migration).</t>
  </si>
  <si>
    <t>Render missing years as a GAP, not as 0. Exclude or separately label the FY2015-16 opening stock.</t>
  </si>
  <si>
    <t>Q8</t>
  </si>
  <si>
    <t>Live table holds two financial years</t>
  </si>
  <si>
    <t>Any per-FY partitioning logic</t>
  </si>
  <si>
    <t>The FY2025-26 archive cut was never made, so DailySevaNew holds both FY2025-26 (3.95 M rows) and FY2026-27 (1.42 M).</t>
  </si>
  <si>
    <t>Never assume one FY per table; always filter on Finyear explicitly.</t>
  </si>
  <si>
    <t>Q9</t>
  </si>
  <si>
    <t>Low</t>
  </si>
  <si>
    <t>Kannada under a Latin collation</t>
  </si>
  <si>
    <t>Every Kannada label (seva names, expense heads, item names)</t>
  </si>
  <si>
    <t>DB collation is SQL_Latin1_General_CP1_CI_AS. Kannada is stored correctly in nvarchar but sorts by code point, and varchar columns cannot hold it at all.</t>
  </si>
  <si>
    <t>Read over a UTF-8-configured connection (sqlcmd -f 65001 / an appropriately configured JDBC driver) or all Kannada arrives as '?'.</t>
  </si>
  <si>
    <t>Q10</t>
  </si>
  <si>
    <t>BudgetMainGroupMaster duplicate key</t>
  </si>
  <si>
    <t>Expense taxonomy, if adopted</t>
  </si>
  <si>
    <t>BudgetMainGroup value 15 is used twice (Vantigegalu / Itare).</t>
  </si>
  <si>
    <t>De-duplicate before adopting the taxonomy.</t>
  </si>
  <si>
    <t>What this analysis assumes, and what must be resolved before implementation can proceed.</t>
  </si>
  <si>
    <t>#</t>
  </si>
  <si>
    <t>Type</t>
  </si>
  <si>
    <t>Statement</t>
  </si>
  <si>
    <t>Impact if wrong / not resolved</t>
  </si>
  <si>
    <t>ASSUMPTIONS</t>
  </si>
  <si>
    <t>A1</t>
  </si>
  <si>
    <t>Assumption</t>
  </si>
  <si>
    <t>This analysis is based on the restored backup KOLSOHAM_LOCAL (SQL Server, TempleCode = 43), analysed read-only on 2026-09-16. Latest activity anywhere in it is 2026-07-26.</t>
  </si>
  <si>
    <t>Figures are ~7 weeks stale relative to that analysis and further stale today. Row counts and totals must be re-verified against a fresh restore before go-live.</t>
  </si>
  <si>
    <t>A2</t>
  </si>
  <si>
    <t>The live SQL Server instance was NOT reachable while this workbook was produced, so every figure is quoted from the two verified analyses in this repo rather than re-queried.</t>
  </si>
  <si>
    <t>All cited totals were previously query-verified, but should be re-run before the numbers are published to the DC office.</t>
  </si>
  <si>
    <t>A3</t>
  </si>
  <si>
    <t>'Nirantara Seva' is taken to mean this system's Sashwatha Seva (perpetual/endowment seva).</t>
  </si>
  <si>
    <t>If the DC office means something else by Nirantara, the entire Part A-G mapping changes.</t>
  </si>
  <si>
    <t>A4</t>
  </si>
  <si>
    <t>DailySevaNew.Amount is the source of truth for seva revenue, in preference to the detail table.</t>
  </si>
  <si>
    <t>If the register/audit basis is the detail table instead, every revenue figure drops by ~41% and the two views must be reconciled explicitly.</t>
  </si>
  <si>
    <t>A5</t>
  </si>
  <si>
    <t>Every transactional row is TempleCode = 43, so the temple filter is defensive rather than selective.</t>
  </si>
  <si>
    <t>If a second temple's data is ever loaded into the same instance, queries without the filter silently aggregate across temples.</t>
  </si>
  <si>
    <t>A6</t>
  </si>
  <si>
    <t>A blank CardNo AND blank BankName is treated as a non-digital (cash) payment.</t>
  </si>
  <si>
    <t>An operator who simply skipped the card field is indistinguishable from a genuine cash sale. The widget must be labelled accordingly.</t>
  </si>
  <si>
    <t>A7</t>
  </si>
  <si>
    <t>Nirantara sevas are identified empirically from subscription membership, because ssv_period is NULL on all 164 sevas.</t>
  </si>
  <si>
    <t>The classification is inferred, not declared. A seva with no historical subscription would be invisible even if it is genuinely perpetual.</t>
  </si>
  <si>
    <t>A8</t>
  </si>
  <si>
    <t>The dashboard's Rs 84.01 Cr 'income register' figure and the computed Rs 90.62 Cr are different accounting bases and are NOT reconciled.</t>
  </si>
  <si>
    <t>Forcing them to agree, as the mock does, misrepresents both. Present one or the other, or present both with their bases named.</t>
  </si>
  <si>
    <t>A9</t>
  </si>
  <si>
    <t>The 42 non-Kollur temples on the selector have no source system at all — their figures are entirely illustrative.</t>
  </si>
  <si>
    <t>The dashboard must not imply the same data quality across temples. The existing per-temple banner already does this; keep it.</t>
  </si>
  <si>
    <t>DEPENDENCIES — must be resolved before implementation</t>
  </si>
  <si>
    <t>D1</t>
  </si>
  <si>
    <t>Dependency</t>
  </si>
  <si>
    <t>Establish and store the temple_id 300001 &lt;-&gt; TempleCode 43 mapping (GAP I8).</t>
  </si>
  <si>
    <t>Nothing can be parameterised by temple; the integration stays hard-coded to Kollur and cannot extend.</t>
  </si>
  <si>
    <t>D2</t>
  </si>
  <si>
    <t>Obtain a READ-ONLY SQL Server login against the Kollur database, with an agreed off-peak extraction window.</t>
  </si>
  <si>
    <t>The archive scans are heavy and the database has almost no indexes; running them in hours would affect counter operations.</t>
  </si>
  <si>
    <t>D3</t>
  </si>
  <si>
    <t>Decide the reporting architecture. The indexing reality (3 non-PK indexes over ~50 M rows, no date index on any archive) rules out live queries; the recommendation is a nightly ETL into ~5 pre-aggregated tables in the registry (~2,000 rows total).</t>
  </si>
  <si>
    <t>Live or replica reads would make the dashboard unusably slow and couple its availability to the temple's POS server.</t>
  </si>
  <si>
    <t>D4</t>
  </si>
  <si>
    <t>Decide the expenditure strategy: (A) declared annual totals from trust_financials, (B) structured annual register capture using BudgetMainGroupMaster's 16 heads, or (C) full expense transactions.</t>
  </si>
  <si>
    <t>Widget 6 cannot be built at all until this is chosen. Recommendation: B, with A as the interim.</t>
  </si>
  <si>
    <t>D5</t>
  </si>
  <si>
    <t>Commission a DC-office grant module to capture fund master, sanction orders, approving authority and per-FY utilisation with proof documents.</t>
  </si>
  <si>
    <t>Widgets 4, 7 and 8 remain entirely illustrative. Since these are DC-office facts, the DC office can capture them directly.</t>
  </si>
  <si>
    <t>D6</t>
  </si>
  <si>
    <t>Agree with the temple and its software vendor to begin recording Nirantara execution.</t>
  </si>
  <si>
    <t>The requirement 'are the booked sevas actually taking place?' cannot be answered, now or retrospectively. Fulfilment reporting can only start from the day capture starts.</t>
  </si>
  <si>
    <t>D7</t>
  </si>
  <si>
    <t>Investigate why Nirantara payment recording stopped after FY2023-24.</t>
  </si>
  <si>
    <t>Recent-year Nirantara revenue is unknown. Reporting it as Rs 0 would be wrong; reporting nothing needs an explanation for the DC office.</t>
  </si>
  <si>
    <t>D8</t>
  </si>
  <si>
    <t>Agree the reporting period for the 'Where the money comes from' donut (the mock says 'all years combined' but its values match no real period).</t>
  </si>
  <si>
    <t>The chart is not reproducible until the period is fixed. Note that seva history begins FY2019-20 while saree history begins FY2016-17.</t>
  </si>
  <si>
    <t>D9</t>
  </si>
  <si>
    <t>Agree the headline definition of 'total revenue': seva receipts only, or all cash streams.</t>
  </si>
  <si>
    <t>Saree donation and saree auction are the same sarees at two stages; summing all three streams double-counts.</t>
  </si>
  <si>
    <t>D10</t>
  </si>
  <si>
    <t>Confirm TempleMaster's name/grade column names, or source temple identity from the Temple Registry instead.</t>
  </si>
  <si>
    <t>The structural analysis did not enumerate TempleMaster's columns, and the table is referenced by no view or procedure.</t>
  </si>
  <si>
    <t>D11</t>
  </si>
  <si>
    <t>Configure UTF-8 on the extraction connection.</t>
  </si>
  <si>
    <t>Every Kannada label (seva names, expense heads, item names) arrives as '?' otherwise.</t>
  </si>
  <si>
    <t>The Soham tables that matter to this dashboard: what each one can answer, and which ones are traps.</t>
  </si>
  <si>
    <t>Table</t>
  </si>
  <si>
    <t>Rows</t>
  </si>
  <si>
    <t>Module</t>
  </si>
  <si>
    <t>Role in this dashboard</t>
  </si>
  <si>
    <t>Status</t>
  </si>
  <si>
    <t>Notes</t>
  </si>
  <si>
    <t>PRIMARY FINANCIAL SOURCES</t>
  </si>
  <si>
    <t>5,365,855</t>
  </si>
  <si>
    <t>Daily seva ticketing</t>
  </si>
  <si>
    <t>Widgets 1, 2, 3, 5, 12, 13 — the revenue backbone</t>
  </si>
  <si>
    <t>Use</t>
  </si>
  <si>
    <t>Receipt header. Amount is the source of truth. Holds TWO financial years (FY2025-26 + FY2026-27). Only table with a date index.</t>
  </si>
  <si>
    <t>Line-item composition only</t>
  </si>
  <si>
    <t>Use with care</t>
  </si>
  <si>
    <t>Money columns unreliable (41% short). Use for Qty / which sevas were on a receipt, never for revenue.</t>
  </si>
  <si>
    <t>DailySevaNew20192020 .. 20242025 (6 tables)</t>
  </si>
  <si>
    <t>16,982,270</t>
  </si>
  <si>
    <t>Daily seva archives</t>
  </si>
  <si>
    <t>Historical years of widgets 1, 5, 13</t>
  </si>
  <si>
    <t>Schema-identical to the live table (zero column drift). NO date index on any of them. Referenced by no view or procedure.</t>
  </si>
  <si>
    <t>DailySevaNewOld / DailySevaNewDetailsOld</t>
  </si>
  <si>
    <t>EXCLUDE</t>
  </si>
  <si>
    <t>Byte-exact duplicate of all six archives combined. 4.7 GB, ~31% of the data file. Including it doubles all history.</t>
  </si>
  <si>
    <t>164</t>
  </si>
  <si>
    <t>Seva catalogue</t>
  </si>
  <si>
    <t>Seva names, rate card, income bucket (widgets 5, 12, 13)</t>
  </si>
  <si>
    <t>68 columns, of which ~48 are receipt-PRINT layout configuration. No PK and no unique constraint on ssv_code; clustered on ssv_sannidhi (4 distinct values).</t>
  </si>
  <si>
    <t>seva_sannidhi</t>
  </si>
  <si>
    <t>4</t>
  </si>
  <si>
    <t>4-bucket income classification</t>
  </si>
  <si>
    <t>SEVAS (DS), SPL SEVAS (SS), KANIKE/DONATION (KN), PRASADA (PS). The only reliable donation-vs-seva separator.</t>
  </si>
  <si>
    <t>2,225</t>
  </si>
  <si>
    <t>Gold/silver offerings</t>
  </si>
  <si>
    <t>Widgets 9 and 11 (counts and real weight)</t>
  </si>
  <si>
    <t>Qty is real per-item weight in grams (InKgs = Qty/1000). Rate/Amount zero post-FY2015-16; Purity empty on all rows.</t>
  </si>
  <si>
    <t>HItemMaster</t>
  </si>
  <si>
    <t>45</t>
  </si>
  <si>
    <t>Gold vs silver split</t>
  </si>
  <si>
    <t>182,675</t>
  </si>
  <si>
    <t>Saree offerings</t>
  </si>
  <si>
    <t>In-kind donation value (not currently on the dashboard)</t>
  </si>
  <si>
    <t>Use SareeValueDonor (donor-declared). SareeKanike is zero on every row despite its name.</t>
  </si>
  <si>
    <t>SareeAuction / SareeAuctionDetails</t>
  </si>
  <si>
    <t>147,747 / 147,689</t>
  </si>
  <si>
    <t>Auction proceeds and GST</t>
  </si>
  <si>
    <t>Must not be summed with SareeDonation — same physical sarees at two stages. The only stream posted to FN_TRANSACTION.</t>
  </si>
  <si>
    <t>ReceiptCanceldetails</t>
  </si>
  <si>
    <t>465</t>
  </si>
  <si>
    <t>Operations</t>
  </si>
  <si>
    <t>Cancellation audit trail</t>
  </si>
  <si>
    <t>2018-2026.</t>
  </si>
  <si>
    <t>CounterMaster / UserTable</t>
  </si>
  <si>
    <t>3 / 19</t>
  </si>
  <si>
    <t>Security &amp; counters</t>
  </si>
  <si>
    <t>UserTable also stores PLAINTEXT passwords (char(10)) plus biometrics and photos unencrypted — do not extract those columns.</t>
  </si>
  <si>
    <t>NIRANTARA (SASHWATHA) SEVA MODULE</t>
  </si>
  <si>
    <t>6,659</t>
  </si>
  <si>
    <t>Sashwatha seva</t>
  </si>
  <si>
    <t>Widget 14 bookings — the subscription grain</t>
  </si>
  <si>
    <t>94 columns. Recurrence in three parallel calendars. ACTIVE/SEVACLOSED/Renewal and NoOfSevaIssue are constant and carry no information.</t>
  </si>
  <si>
    <t>seva_sevakarta</t>
  </si>
  <si>
    <t>5,177</t>
  </si>
  <si>
    <t>Subscriber identity</t>
  </si>
  <si>
    <t>Links to NameMaster / AddressMaster with 0 orphans.</t>
  </si>
  <si>
    <t>seva_sevakartaPayment / …det</t>
  </si>
  <si>
    <t>5,219 / 5,247</t>
  </si>
  <si>
    <t>Widget 14 payments</t>
  </si>
  <si>
    <t>ZERO rows after FY2023-24. Never report recent years as Rs 0.</t>
  </si>
  <si>
    <t>15,091</t>
  </si>
  <si>
    <t>Scheduled due dates</t>
  </si>
  <si>
    <t>Use for schedule only</t>
  </si>
  <si>
    <t>seva_Prepared / Seve_closed / LetterPrinted are ALL 0 on ALL rows — no execution signal.</t>
  </si>
  <si>
    <t>317,892</t>
  </si>
  <si>
    <t>Friday-pooja schedule and expected amount</t>
  </si>
  <si>
    <t>seva_Prepared = 1 on 17,808 FUTURE-dated rows — it means 'schedule generated', NOT 'performed'. Printed=1 on 90,929 past rows is the closest weak proxy.</t>
  </si>
  <si>
    <t>Renewal mirror</t>
  </si>
  <si>
    <t>Optional</t>
  </si>
  <si>
    <t>86-column near-copy of the 94-column subscription table.</t>
  </si>
  <si>
    <t>0</t>
  </si>
  <si>
    <t>Would answer 'was the seva conducted?'</t>
  </si>
  <si>
    <t>EMPTY</t>
  </si>
  <si>
    <t>The purpose-built attendance table, keyed at exactly the right grain, has never been used. This is GAP C4.</t>
  </si>
  <si>
    <t>seva_period</t>
  </si>
  <si>
    <t>8</t>
  </si>
  <si>
    <t>Would classify perpetual sevas</t>
  </si>
  <si>
    <t>Unused</t>
  </si>
  <si>
    <t>Holds exactly the right archetypes (SEVA_SASHWATHAPUJA etc.) but seva_seva.ssv_period is NULL on all 164 sevas, so it joins to nothing. GAP I4.</t>
  </si>
  <si>
    <t>5,275</t>
  </si>
  <si>
    <t>Family named in the sankalpa</t>
  </si>
  <si>
    <t>TABLES THAT LOOK RELEVANT BUT ARE NOT</t>
  </si>
  <si>
    <t>FN_TRANSACTION</t>
  </si>
  <si>
    <t>524,296</t>
  </si>
  <si>
    <t>Accounting ledger</t>
  </si>
  <si>
    <t>Looks like a general ledger; is not</t>
  </si>
  <si>
    <t>Do not import</t>
  </si>
  <si>
    <t>FY2025-26: two accounts, both sides of saree-auction sales, Rs 2.32 Cr = 2.6% of the temple's money. ZERO expenditure. Some rows dated 2004 carry Finyear 20252026.</t>
  </si>
  <si>
    <t>FN_ACCOUNTMASTER / FN_MASTERMAIN</t>
  </si>
  <si>
    <t>22 / 136</t>
  </si>
  <si>
    <t>Chart of accounts</t>
  </si>
  <si>
    <t>Reference only</t>
  </si>
  <si>
    <t>Useful for understanding Accountcode on seva_seva; no expenditure behind it.</t>
  </si>
  <si>
    <t>BudgetMainGroupMaster</t>
  </si>
  <si>
    <t>16</t>
  </si>
  <si>
    <t>Budgeting</t>
  </si>
  <si>
    <t>Expense category NAMES only</t>
  </si>
  <si>
    <t>A real temple-specific Kannada expense taxonomy that maps closely to the dashboard's invented categories. Adopt it if expense capture is built. Value 15 is duplicated.</t>
  </si>
  <si>
    <t>BudgetDetails</t>
  </si>
  <si>
    <t>12</t>
  </si>
  <si>
    <t>Budget allocations</t>
  </si>
  <si>
    <t>Do not use</t>
  </si>
  <si>
    <t>ALL FY2017-18, with BudgetIssue zero on 10 of 12. A nine-year-old planning artefact.</t>
  </si>
  <si>
    <t>43</t>
  </si>
  <si>
    <t>Master data</t>
  </si>
  <si>
    <t>Temple identity and grade</t>
  </si>
  <si>
    <t>Verify first</t>
  </si>
  <si>
    <t>Populated but referenced by no view or procedure and has no PK; column names were not enumerated in the structural analysis.</t>
  </si>
  <si>
    <t>PurityMaster</t>
  </si>
  <si>
    <t>9</t>
  </si>
  <si>
    <t>Would enable valuation</t>
  </si>
  <si>
    <t>9 grades defined, but HKanikeItems.Purity is empty on all 2,225 rows.</t>
  </si>
  <si>
    <t>EMPTY TABLES THAT WOULD OTHERWISE HAVE ANSWERED DASHBOARD QUESTIONS</t>
  </si>
  <si>
    <t>FN_VOUCHERPAYEMENT</t>
  </si>
  <si>
    <t>Would hold expenditure</t>
  </si>
  <si>
    <t>Has a 31-parameter stored procedure and a View_Voucher view. Never used. GAP C1.</t>
  </si>
  <si>
    <t>Donation</t>
  </si>
  <si>
    <t>Donations</t>
  </si>
  <si>
    <t>Would hold generic donations</t>
  </si>
  <si>
    <t>Has sp_Donation (26 params) and View_Donation. Donations are recorded as sevas instead, classified by sannidhi bucket.</t>
  </si>
  <si>
    <t>Hundi counting</t>
  </si>
  <si>
    <t>Would hold donation-box detail</t>
  </si>
  <si>
    <t>Hundi is the largest income line yet these are unused; it is booked as SevaCode 430 (HUNDIALS), 13 receipts averaging Rs 1.03 Cr.</t>
  </si>
  <si>
    <t>AnnadhanaDetails</t>
  </si>
  <si>
    <t>Food offering</t>
  </si>
  <si>
    <t>Would hold annadhana receipts</t>
  </si>
  <si>
    <t>Anna Santarpana is booked through DailySevaNew (SevaCode 419) instead.</t>
  </si>
  <si>
    <t>TenantMaster / TenantReceipt / ShopRentMaster / LandRentMaster / GenerateTenatRent / PropertyStatusMaster</t>
  </si>
  <si>
    <t>Tenancy &amp; rent</t>
  </si>
  <si>
    <t>Would hold property income</t>
  </si>
  <si>
    <t>Fully built module, never switched on.</t>
  </si>
  <si>
    <t>HallBookingDetails / HallBooking_Payment</t>
  </si>
  <si>
    <t>Hall booking</t>
  </si>
  <si>
    <t>Would hold hall income</t>
  </si>
  <si>
    <t>HTulabhara / HTulabharaDetails</t>
  </si>
  <si>
    <t>Tulabhara</t>
  </si>
  <si>
    <t>Would hold tulabhara offerings</t>
  </si>
  <si>
    <t>HTulabharaMaster has 24 rate rows; the transaction tables are empty.</t>
  </si>
  <si>
    <t>(no table exists)</t>
  </si>
  <si>
    <t>Grants / works</t>
  </si>
  <si>
    <t>Widgets 4, 7, 8</t>
  </si>
  <si>
    <t>ABSENT</t>
  </si>
  <si>
    <t>There is no grant, sanction-order, work-order, invoice, vendor, purchase or salary table anywhere in Soham OR in the Temple Registry. GAPS C2, C3, I7.</t>
  </si>
  <si>
    <t>Summary — mapped field counts by availability</t>
  </si>
  <si>
    <t>Live COUNTIF formulas over the availability column of the three mapping sheets. Section header rows are not counted.</t>
  </si>
  <si>
    <t>Mapping sheet</t>
  </si>
  <si>
    <t>Total mapped</t>
  </si>
  <si>
    <t>TOTAL</t>
  </si>
  <si>
    <t>Widget-level verdict</t>
  </si>
  <si>
    <t>Dashboard widget</t>
  </si>
  <si>
    <t>Verdict</t>
  </si>
  <si>
    <t>Blocking gap</t>
  </si>
  <si>
    <t>1. Total money collected</t>
  </si>
  <si>
    <t>AVAILABLE (transform)</t>
  </si>
  <si>
    <t>Union 7 tables; exclude DailySevaNewOld</t>
  </si>
  <si>
    <t>2. Money collected month on month</t>
  </si>
  <si>
    <t>AVAILABLE — better than mock</t>
  </si>
  <si>
    <t>None</t>
  </si>
  <si>
    <t>3. Paid in cash</t>
  </si>
  <si>
    <t>AVAILABLE (inferred)</t>
  </si>
  <si>
    <t>I1 — no payment-mode column; relabel the widget</t>
  </si>
  <si>
    <t>4. DC approved funds gauge</t>
  </si>
  <si>
    <t>NOT AVAILABLE</t>
  </si>
  <si>
    <t>C2, C3</t>
  </si>
  <si>
    <t>5. Where the money comes from</t>
  </si>
  <si>
    <t>AVAILABLE</t>
  </si>
  <si>
    <t>D8 — reporting period must be agreed</t>
  </si>
  <si>
    <t>6. Where the money goes (expenditure)</t>
  </si>
  <si>
    <t>C1 — no expenditure data of any kind</t>
  </si>
  <si>
    <t>7. DC Approved Funds approved vs spent</t>
  </si>
  <si>
    <t>8. Ongoing Works</t>
  </si>
  <si>
    <t>9. Gold &amp; silver — item counts</t>
  </si>
  <si>
    <t>Q7 — render FY2021-22/22-23 as gaps, not zero</t>
  </si>
  <si>
    <t>10. Gold &amp; silver — estimated value</t>
  </si>
  <si>
    <t>NOT DERIVABLE</t>
  </si>
  <si>
    <t>C5 — remove the chart, do not re-base it</t>
  </si>
  <si>
    <t>11. Gold &amp; silver — estimated weight</t>
  </si>
  <si>
    <t>None; drop the 15 g assumption</t>
  </si>
  <si>
    <t>12. Special / high-value sevas</t>
  </si>
  <si>
    <t>None; add booking counts to make it honest</t>
  </si>
  <si>
    <t>13. Seva Revenue Split (new)</t>
  </si>
  <si>
    <t>None; carry the HUNDIALS/prasadam cautions</t>
  </si>
  <si>
    <t>14. Nirantara Seva Tracking (new)</t>
  </si>
  <si>
    <t>PARTIALLY AVAILABLE</t>
  </si>
  <si>
    <t>C4 — execution is not recorded and cannot be inferred</t>
  </si>
  <si>
    <t>Source: docs/database/KOLSOHAM_DATABASE_ANALYSIS.md and docs/finance/KOLLUR_FINANCE_DATA_ANALYSIS.md (both read-only, verified 2026-09-16). The live SQL Server instance was not reachable when this workbook was generated; re-verify figures against a fresh restore before publishing.</t>
  </si>
</sst>
</file>

<file path=xl/styles.xml><?xml version="1.0" encoding="utf-8"?>
<styleSheet xmlns="http://schemas.openxmlformats.org/spreadsheetml/2006/main">
  <numFmts count="0"/>
  <fonts count="27">
    <font>
      <sz val="11.0"/>
      <color indexed="8"/>
      <name val="Calibri"/>
      <family val="2"/>
      <scheme val="minor"/>
    </font>
    <font>
      <name val="Arial"/>
      <sz val="14.0"/>
      <b val="true"/>
      <color rgb="FF1F3864"/>
    </font>
    <font>
      <name val="Arial"/>
      <sz val="9.0"/>
      <i val="true"/>
      <color rgb="FF595959"/>
    </font>
    <font>
      <name val="Arial"/>
      <sz val="10.0"/>
      <b val="true"/>
      <color rgb="FFFFFFFF"/>
    </font>
    <font>
      <name val="Arial"/>
      <sz val="10.0"/>
      <b val="true"/>
      <color rgb="FF1F3864"/>
    </font>
    <font>
      <name val="Arial"/>
      <sz val="9.0"/>
    </font>
    <font>
      <name val="Arial"/>
      <sz val="10.0"/>
      <b val="true"/>
    </font>
    <font>
      <name val="Arial"/>
      <sz val="10.0"/>
    </font>
    <font>
      <name val="Arial"/>
      <sz val="11.0"/>
      <b val="true"/>
      <color rgb="FFFFFFFF"/>
    </font>
    <font>
      <name val="Arial"/>
      <sz val="9.0"/>
      <i val="true"/>
      <color rgb="FF595959"/>
    </font>
    <font>
      <name val="Arial"/>
      <sz val="10.0"/>
    </font>
    <font>
      <name val="Arial"/>
      <sz val="10.0"/>
      <b val="true"/>
    </font>
    <font>
      <name val="Arial"/>
      <sz val="9.0"/>
      <b val="true"/>
    </font>
    <font>
      <name val="Arial"/>
      <sz val="10.0"/>
      <b val="true"/>
    </font>
    <font>
      <name val="Arial"/>
      <sz val="9.0"/>
      <b val="true"/>
    </font>
    <font>
      <name val="Arial"/>
      <sz val="10.0"/>
      <b val="true"/>
    </font>
    <font>
      <name val="Arial"/>
      <sz val="9.0"/>
      <b val="true"/>
    </font>
    <font>
      <name val="Arial"/>
      <sz val="10.0"/>
      <b val="true"/>
    </font>
    <font>
      <name val="Arial"/>
      <sz val="9.0"/>
      <b val="true"/>
    </font>
    <font>
      <name val="Arial"/>
      <sz val="10.0"/>
      <b val="true"/>
    </font>
    <font>
      <name val="Arial"/>
      <sz val="9.0"/>
      <b val="true"/>
    </font>
    <font>
      <name val="Arial"/>
      <sz val="10.0"/>
      <b val="true"/>
    </font>
    <font>
      <name val="Arial"/>
      <sz val="10.0"/>
      <b val="true"/>
    </font>
    <font>
      <name val="Arial"/>
      <sz val="10.0"/>
      <b val="true"/>
    </font>
    <font>
      <name val="Arial"/>
      <sz val="10.0"/>
      <b val="true"/>
    </font>
    <font>
      <name val="Arial"/>
      <sz val="10.0"/>
      <b val="true"/>
    </font>
    <font>
      <name val="Arial"/>
      <sz val="12.0"/>
      <b val="true"/>
      <color rgb="FF1F3864"/>
    </font>
  </fonts>
  <fills count="16">
    <fill>
      <patternFill patternType="none"/>
    </fill>
    <fill>
      <patternFill patternType="darkGray"/>
    </fill>
    <fill>
      <patternFill patternType="none">
        <fgColor rgb="1F3864"/>
      </patternFill>
    </fill>
    <fill>
      <patternFill patternType="solid">
        <fgColor rgb="1F3864"/>
      </patternFill>
    </fill>
    <fill>
      <patternFill patternType="none">
        <fgColor rgb="D9E1F2"/>
      </patternFill>
    </fill>
    <fill>
      <patternFill patternType="solid">
        <fgColor rgb="D9E1F2"/>
      </patternFill>
    </fill>
    <fill>
      <patternFill patternType="none">
        <fgColor rgb="FFC7CE"/>
      </patternFill>
    </fill>
    <fill>
      <patternFill patternType="solid">
        <fgColor rgb="FFC7CE"/>
      </patternFill>
    </fill>
    <fill>
      <patternFill patternType="none">
        <fgColor rgb="FFEB9C"/>
      </patternFill>
    </fill>
    <fill>
      <patternFill patternType="solid">
        <fgColor rgb="FFEB9C"/>
      </patternFill>
    </fill>
    <fill>
      <patternFill patternType="none">
        <fgColor rgb="C6EFCE"/>
      </patternFill>
    </fill>
    <fill>
      <patternFill patternType="solid">
        <fgColor rgb="C6EFCE"/>
      </patternFill>
    </fill>
    <fill>
      <patternFill patternType="none">
        <fgColor rgb="DDEBF7"/>
      </patternFill>
    </fill>
    <fill>
      <patternFill patternType="solid">
        <fgColor rgb="DDEBF7"/>
      </patternFill>
    </fill>
    <fill>
      <patternFill patternType="none">
        <fgColor rgb="EDEDED"/>
      </patternFill>
    </fill>
    <fill>
      <patternFill patternType="solid">
        <fgColor rgb="EDEDED"/>
      </patternFill>
    </fill>
  </fills>
  <borders count="9">
    <border>
      <left/>
      <right/>
      <top/>
      <bottom/>
      <diagonal/>
    </border>
    <border>
      <top style="thin"/>
    </border>
    <border>
      <top style="thin">
        <color rgb="B4C6E7"/>
      </top>
    </border>
    <border>
      <top style="thin">
        <color rgb="B4C6E7"/>
      </top>
      <bottom style="thin"/>
    </border>
    <border>
      <top style="thin">
        <color rgb="B4C6E7"/>
      </top>
      <bottom style="thin">
        <color rgb="B4C6E7"/>
      </bottom>
    </border>
    <border>
      <left style="thin"/>
      <top style="thin">
        <color rgb="B4C6E7"/>
      </top>
      <bottom style="thin">
        <color rgb="B4C6E7"/>
      </bottom>
    </border>
    <border>
      <left style="thin">
        <color rgb="B4C6E7"/>
      </left>
      <top style="thin">
        <color rgb="B4C6E7"/>
      </top>
      <bottom style="thin">
        <color rgb="B4C6E7"/>
      </bottom>
    </border>
    <border>
      <left style="thin">
        <color rgb="B4C6E7"/>
      </left>
      <right style="thin"/>
      <top style="thin">
        <color rgb="B4C6E7"/>
      </top>
      <bottom style="thin">
        <color rgb="B4C6E7"/>
      </bottom>
    </border>
    <border>
      <left style="thin">
        <color rgb="B4C6E7"/>
      </left>
      <right style="thin">
        <color rgb="B4C6E7"/>
      </right>
      <top style="thin">
        <color rgb="B4C6E7"/>
      </top>
      <bottom style="thin">
        <color rgb="B4C6E7"/>
      </bottom>
    </border>
  </borders>
  <cellStyleXfs count="1">
    <xf numFmtId="0" fontId="0" fillId="0" borderId="0"/>
  </cellStyleXfs>
  <cellXfs count="27">
    <xf numFmtId="0" fontId="0" fillId="0" borderId="0" xfId="0"/>
    <xf numFmtId="0" fontId="1" fillId="0" borderId="0" xfId="0" applyFont="true" applyAlignment="true">
      <alignment wrapText="false" vertical="top"/>
    </xf>
    <xf numFmtId="0" fontId="2" fillId="0" borderId="0" xfId="0" applyFont="true" applyAlignment="true">
      <alignment wrapText="false" vertical="top"/>
    </xf>
    <xf numFmtId="0" fontId="3" fillId="3" borderId="8" xfId="0" applyFont="true" applyFill="true" applyAlignment="true" applyBorder="true">
      <alignment wrapText="true" vertical="center" horizontal="center"/>
    </xf>
    <xf numFmtId="0" fontId="4" fillId="5" borderId="8" xfId="0" applyFont="true" applyFill="true" applyAlignment="true" applyBorder="true">
      <alignment wrapText="false" vertical="top"/>
    </xf>
    <xf numFmtId="0" fontId="5" fillId="0" borderId="8" xfId="0" applyFont="true" applyAlignment="true" applyBorder="true">
      <alignment wrapText="true" vertical="top"/>
    </xf>
    <xf numFmtId="0" fontId="6" fillId="0" borderId="0" xfId="0" applyFont="true" applyAlignment="true">
      <alignment wrapText="true" vertical="top"/>
    </xf>
    <xf numFmtId="0" fontId="7" fillId="0" borderId="0" xfId="0" applyFont="true" applyAlignment="true">
      <alignment wrapText="true" vertical="top"/>
    </xf>
    <xf numFmtId="0" fontId="8" fillId="3" borderId="0" xfId="0" applyFont="true" applyFill="true" applyAlignment="true">
      <alignment wrapText="false" vertical="top"/>
    </xf>
    <xf numFmtId="0" fontId="9" fillId="0" borderId="0" xfId="0" applyFont="true" applyAlignment="true">
      <alignment wrapText="true" vertical="top"/>
    </xf>
    <xf numFmtId="0" fontId="10" fillId="0" borderId="8" xfId="0" applyFont="true" applyAlignment="true" applyBorder="true">
      <alignment wrapText="false" vertical="top" horizontal="center"/>
    </xf>
    <xf numFmtId="0" fontId="11" fillId="5" borderId="8" xfId="0" applyFont="true" applyFill="true" applyAlignment="true" applyBorder="true">
      <alignment wrapText="false" vertical="top" horizontal="center"/>
    </xf>
    <xf numFmtId="0" fontId="12" fillId="7" borderId="8" xfId="0" applyFont="true" applyFill="true" applyAlignment="true" applyBorder="true">
      <alignment wrapText="true" vertical="center" horizontal="center"/>
    </xf>
    <xf numFmtId="0" fontId="13" fillId="7" borderId="8" xfId="0" applyFont="true" applyFill="true" applyAlignment="true" applyBorder="true">
      <alignment wrapText="true" vertical="top" horizontal="center"/>
    </xf>
    <xf numFmtId="0" fontId="14" fillId="9" borderId="8" xfId="0" applyFont="true" applyFill="true" applyAlignment="true" applyBorder="true">
      <alignment wrapText="true" vertical="center" horizontal="center"/>
    </xf>
    <xf numFmtId="0" fontId="15" fillId="9" borderId="8" xfId="0" applyFont="true" applyFill="true" applyAlignment="true" applyBorder="true">
      <alignment wrapText="true" vertical="top" horizontal="center"/>
    </xf>
    <xf numFmtId="0" fontId="16" fillId="11" borderId="8" xfId="0" applyFont="true" applyFill="true" applyAlignment="true" applyBorder="true">
      <alignment wrapText="true" vertical="center" horizontal="center"/>
    </xf>
    <xf numFmtId="0" fontId="17" fillId="11" borderId="8" xfId="0" applyFont="true" applyFill="true" applyAlignment="true" applyBorder="true">
      <alignment wrapText="true" vertical="top" horizontal="center"/>
    </xf>
    <xf numFmtId="0" fontId="18" fillId="13" borderId="8" xfId="0" applyFont="true" applyFill="true" applyAlignment="true" applyBorder="true">
      <alignment wrapText="true" vertical="center" horizontal="center"/>
    </xf>
    <xf numFmtId="0" fontId="19" fillId="13" borderId="8" xfId="0" applyFont="true" applyFill="true" applyAlignment="true" applyBorder="true">
      <alignment wrapText="true" vertical="top" horizontal="center"/>
    </xf>
    <xf numFmtId="0" fontId="20" fillId="15" borderId="8" xfId="0" applyFont="true" applyFill="true" applyAlignment="true" applyBorder="true">
      <alignment wrapText="true" vertical="center" horizontal="center"/>
    </xf>
    <xf numFmtId="0" fontId="21" fillId="15" borderId="8" xfId="0" applyFont="true" applyFill="true" applyAlignment="true" applyBorder="true">
      <alignment wrapText="true" vertical="top" horizontal="center"/>
    </xf>
    <xf numFmtId="0" fontId="22" fillId="0" borderId="8" xfId="0" applyFont="true" applyAlignment="true" applyBorder="true">
      <alignment wrapText="false" vertical="top"/>
    </xf>
    <xf numFmtId="0" fontId="23" fillId="0" borderId="8" xfId="0" applyFont="true" applyAlignment="true" applyBorder="true">
      <alignment wrapText="false" vertical="top"/>
    </xf>
    <xf numFmtId="0" fontId="24" fillId="0" borderId="8" xfId="0" applyFont="true" applyAlignment="true" applyBorder="true">
      <alignment wrapText="false" vertical="top"/>
    </xf>
    <xf numFmtId="0" fontId="25" fillId="5" borderId="8" xfId="0" applyFont="true" applyFill="true" applyAlignment="true" applyBorder="true">
      <alignment wrapText="false" vertical="top"/>
    </xf>
    <xf numFmtId="0" fontId="26" fillId="0" borderId="0" xfId="0" applyFont="true" applyAlignment="true">
      <alignment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39"/>
  <sheetViews>
    <sheetView workbookViewId="0" tabSelected="true" showGridLines="false"/>
  </sheetViews>
  <sheetFormatPr defaultRowHeight="15.0"/>
  <cols>
    <col min="1" max="1" width="34.0" customWidth="true"/>
    <col min="2" max="2" width="108.0" customWidth="true"/>
  </cols>
  <sheetData>
    <row r="1" ht="20.0" customHeight="true">
      <c r="A1" t="s" s="1">
        <v>0</v>
      </c>
    </row>
    <row r="2">
      <c r="A2" t="s" s="2">
        <v>1</v>
      </c>
    </row>
    <row r="4" ht="18.0" customHeight="true">
      <c r="A4" t="s" s="8">
        <v>2</v>
      </c>
      <c r="B4" s="8"/>
    </row>
    <row r="5">
      <c r="A5" t="s" s="6">
        <v>3</v>
      </c>
      <c r="B5" t="s" s="7">
        <v>4</v>
      </c>
    </row>
    <row r="6">
      <c r="A6" t="s" s="6">
        <v>5</v>
      </c>
      <c r="B6" t="s" s="7">
        <v>6</v>
      </c>
    </row>
    <row r="7">
      <c r="A7" t="s" s="6">
        <v>7</v>
      </c>
      <c r="B7" t="s" s="7">
        <v>8</v>
      </c>
    </row>
    <row r="8"/>
    <row r="9" ht="18.0" customHeight="true">
      <c r="A9" t="s" s="8">
        <v>9</v>
      </c>
      <c r="B9" s="8"/>
    </row>
    <row r="10">
      <c r="A10" t="s" s="6">
        <v>10</v>
      </c>
      <c r="B10" t="s" s="7">
        <v>11</v>
      </c>
    </row>
    <row r="11">
      <c r="A11" t="s" s="6">
        <v>12</v>
      </c>
      <c r="B11" t="s" s="7">
        <v>13</v>
      </c>
    </row>
    <row r="12">
      <c r="A12" t="s" s="6">
        <v>14</v>
      </c>
      <c r="B12" t="s" s="7">
        <v>15</v>
      </c>
    </row>
    <row r="13"/>
    <row r="14" ht="18.0" customHeight="true">
      <c r="A14" t="s" s="8">
        <v>16</v>
      </c>
      <c r="B14" s="8"/>
    </row>
    <row r="15">
      <c r="A15" t="s" s="6">
        <v>17</v>
      </c>
      <c r="B15" t="s" s="7">
        <v>18</v>
      </c>
    </row>
    <row r="16">
      <c r="A16" t="s" s="6">
        <v>19</v>
      </c>
      <c r="B16" t="s" s="7">
        <v>20</v>
      </c>
    </row>
    <row r="17">
      <c r="A17" t="s" s="6">
        <v>21</v>
      </c>
      <c r="B17" t="s" s="7">
        <v>22</v>
      </c>
    </row>
    <row r="18">
      <c r="A18" t="s" s="6">
        <v>23</v>
      </c>
      <c r="B18" t="s" s="7">
        <v>24</v>
      </c>
    </row>
    <row r="19">
      <c r="A19" t="s" s="6">
        <v>25</v>
      </c>
      <c r="B19" t="s" s="7">
        <v>26</v>
      </c>
    </row>
    <row r="20">
      <c r="A20" t="s" s="6">
        <v>27</v>
      </c>
      <c r="B20" t="s" s="7">
        <v>28</v>
      </c>
    </row>
    <row r="21">
      <c r="A21" t="s" s="6">
        <v>29</v>
      </c>
      <c r="B21" t="s" s="7">
        <v>30</v>
      </c>
    </row>
    <row r="22">
      <c r="A22" t="s" s="6">
        <v>31</v>
      </c>
      <c r="B22" t="s" s="7">
        <v>32</v>
      </c>
    </row>
    <row r="23"/>
    <row r="24" ht="18.0" customHeight="true">
      <c r="A24" t="s" s="8">
        <v>33</v>
      </c>
      <c r="B24" s="8"/>
    </row>
    <row r="25">
      <c r="A25" t="s" s="17">
        <v>34</v>
      </c>
      <c r="B25" t="s" s="7">
        <v>35</v>
      </c>
    </row>
    <row r="26">
      <c r="A26" t="s" s="19">
        <v>36</v>
      </c>
      <c r="B26" t="s" s="7">
        <v>37</v>
      </c>
    </row>
    <row r="27">
      <c r="A27" t="s" s="15">
        <v>38</v>
      </c>
      <c r="B27" t="s" s="7">
        <v>39</v>
      </c>
    </row>
    <row r="28">
      <c r="A28" t="s" s="13">
        <v>40</v>
      </c>
      <c r="B28" t="s" s="7">
        <v>41</v>
      </c>
    </row>
    <row r="29">
      <c r="A29" t="s" s="21">
        <v>42</v>
      </c>
      <c r="B29" t="s" s="7">
        <v>43</v>
      </c>
    </row>
    <row r="30"/>
    <row r="31" ht="18.0" customHeight="true">
      <c r="A31" t="s" s="8">
        <v>44</v>
      </c>
      <c r="B31" s="8"/>
    </row>
    <row r="32">
      <c r="A32" t="s" s="6">
        <v>45</v>
      </c>
      <c r="B32" t="s" s="7">
        <v>46</v>
      </c>
    </row>
    <row r="33">
      <c r="A33" t="s" s="6">
        <v>47</v>
      </c>
      <c r="B33" t="s" s="7">
        <v>48</v>
      </c>
    </row>
    <row r="34">
      <c r="A34" t="s" s="6">
        <v>49</v>
      </c>
      <c r="B34" t="s" s="7">
        <v>50</v>
      </c>
    </row>
    <row r="35">
      <c r="A35" t="s" s="6">
        <v>51</v>
      </c>
      <c r="B35" t="s" s="7">
        <v>52</v>
      </c>
    </row>
    <row r="36">
      <c r="A36" t="s" s="6">
        <v>53</v>
      </c>
      <c r="B36" t="s" s="7">
        <v>54</v>
      </c>
    </row>
    <row r="37">
      <c r="A37" t="s" s="6">
        <v>55</v>
      </c>
      <c r="B37" t="s" s="7">
        <v>56</v>
      </c>
    </row>
    <row r="38"/>
    <row r="39">
      <c r="A39" t="s" s="6">
        <v>57</v>
      </c>
      <c r="B39" t="s" s="7">
        <v>58</v>
      </c>
    </row>
  </sheetData>
  <mergeCells count="2">
    <mergeCell ref="A1:B1"/>
    <mergeCell ref="A2:B2"/>
  </mergeCells>
  <pageMargins bottom="0.75" footer="0.3" header="0.3" left="0.7" right="0.7" top="0.75"/>
</worksheet>
</file>

<file path=xl/worksheets/sheet2.xml><?xml version="1.0" encoding="utf-8"?>
<worksheet xmlns="http://schemas.openxmlformats.org/spreadsheetml/2006/main">
  <dimension ref="A1:F28"/>
  <sheetViews>
    <sheetView workbookViewId="0" showGridLines="false"/>
  </sheetViews>
  <sheetFormatPr defaultRowHeight="15.0"/>
  <cols>
    <col min="1" max="1" width="30.0" customWidth="true"/>
    <col min="2" max="2" width="17.0" customWidth="true"/>
    <col min="3" max="3" width="60.0" customWidth="true"/>
    <col min="4" max="4" width="17.0" customWidth="true"/>
    <col min="5" max="5" width="17.0" customWidth="true"/>
    <col min="6" max="6" width="14.0" customWidth="true"/>
  </cols>
  <sheetData>
    <row r="1" ht="20.0" customHeight="true">
      <c r="A1" t="s" s="1">
        <v>1086</v>
      </c>
    </row>
    <row r="2">
      <c r="A2" t="s" s="2">
        <v>1087</v>
      </c>
    </row>
    <row r="4" ht="32.0" customHeight="true">
      <c r="A4" t="s" s="3">
        <v>1088</v>
      </c>
      <c r="B4" t="s" s="17">
        <v>34</v>
      </c>
      <c r="C4" t="s" s="19">
        <v>36</v>
      </c>
      <c r="D4" t="s" s="15">
        <v>38</v>
      </c>
      <c r="E4" t="s" s="13">
        <v>40</v>
      </c>
      <c r="F4" t="s" s="3">
        <v>1089</v>
      </c>
    </row>
    <row r="5">
      <c r="A5" t="s" s="22">
        <v>19</v>
      </c>
      <c r="B5" s="10" t="n">
        <f>COUNTIF('Field Mapping'!$F$5:$F$75,"Yes")</f>
        <v>19.0</v>
      </c>
      <c r="C5" s="10" t="n">
        <f>COUNTIF('Field Mapping'!$F$5:$F$75,"Yes (transform)")</f>
        <v>4.0</v>
      </c>
      <c r="D5" s="10" t="n">
        <f>COUNTIF('Field Mapping'!$F$5:$F$75,"Partial")</f>
        <v>4.0</v>
      </c>
      <c r="E5" s="10" t="n">
        <f>COUNTIF('Field Mapping'!$F$5:$F$75,"No")</f>
        <v>29.0</v>
      </c>
      <c r="F5" s="10" t="n">
        <f>SUM(B5:E5)</f>
        <v>56.0</v>
      </c>
    </row>
    <row r="6">
      <c r="A6" t="s" s="23">
        <v>21</v>
      </c>
      <c r="B6" s="10" t="n">
        <f>COUNTIF('Seva Revenue Split'!$F$5:$F$42,"Yes")</f>
        <v>29.0</v>
      </c>
      <c r="C6" s="10" t="n">
        <f>COUNTIF('Seva Revenue Split'!$F$5:$F$42,"Yes (transform)")</f>
        <v>0.0</v>
      </c>
      <c r="D6" s="10" t="n">
        <f>COUNTIF('Seva Revenue Split'!$F$5:$F$42,"Partial")</f>
        <v>2.0</v>
      </c>
      <c r="E6" s="10" t="n">
        <f>COUNTIF('Seva Revenue Split'!$F$5:$F$42,"No")</f>
        <v>1.0</v>
      </c>
      <c r="F6" s="10" t="n">
        <f>SUM(B6:E6)</f>
        <v>32.0</v>
      </c>
    </row>
    <row r="7">
      <c r="A7" t="s" s="24">
        <v>23</v>
      </c>
      <c r="B7" s="10" t="n">
        <f>COUNTIF('Nirantara Seva Tracking'!$F$5:$F$55,"Yes")</f>
        <v>15.0</v>
      </c>
      <c r="C7" s="10" t="n">
        <f>COUNTIF('Nirantara Seva Tracking'!$F$5:$F$55,"Yes (transform)")</f>
        <v>0.0</v>
      </c>
      <c r="D7" s="10" t="n">
        <f>COUNTIF('Nirantara Seva Tracking'!$F$5:$F$55,"Partial")</f>
        <v>10.0</v>
      </c>
      <c r="E7" s="10" t="n">
        <f>COUNTIF('Nirantara Seva Tracking'!$F$5:$F$55,"No")</f>
        <v>17.0</v>
      </c>
      <c r="F7" s="10" t="n">
        <f>SUM(B7:E7)</f>
        <v>42.0</v>
      </c>
    </row>
    <row r="8">
      <c r="A8" t="s" s="25">
        <v>1090</v>
      </c>
      <c r="B8" s="11" t="n">
        <f>SUM(B5:B7)</f>
        <v>63.0</v>
      </c>
      <c r="C8" s="11" t="n">
        <f>SUM(C5:C7)</f>
        <v>4.0</v>
      </c>
      <c r="D8" s="11" t="n">
        <f>SUM(D5:D7)</f>
        <v>16.0</v>
      </c>
      <c r="E8" s="11" t="n">
        <f>SUM(E5:E7)</f>
        <v>47.0</v>
      </c>
      <c r="F8" s="11" t="n">
        <f>SUM(F5:F7)</f>
        <v>130.0</v>
      </c>
    </row>
    <row r="11">
      <c r="A11" t="s" s="26">
        <v>1091</v>
      </c>
    </row>
    <row r="12" ht="20.0" customHeight="true">
      <c r="A12" t="s" s="3">
        <v>1092</v>
      </c>
      <c r="B12" t="s" s="3">
        <v>1093</v>
      </c>
      <c r="C12" t="s" s="3">
        <v>1094</v>
      </c>
    </row>
    <row r="13">
      <c r="A13" t="s" s="5">
        <v>1095</v>
      </c>
      <c r="B13" t="s" s="16">
        <v>1096</v>
      </c>
      <c r="C13" t="s" s="5">
        <v>1097</v>
      </c>
    </row>
    <row r="14">
      <c r="A14" t="s" s="5">
        <v>1098</v>
      </c>
      <c r="B14" t="s" s="16">
        <v>1099</v>
      </c>
      <c r="C14" t="s" s="5">
        <v>1100</v>
      </c>
    </row>
    <row r="15">
      <c r="A15" t="s" s="5">
        <v>1101</v>
      </c>
      <c r="B15" t="s" s="16">
        <v>1102</v>
      </c>
      <c r="C15" t="s" s="5">
        <v>1103</v>
      </c>
    </row>
    <row r="16">
      <c r="A16" t="s" s="5">
        <v>1104</v>
      </c>
      <c r="B16" t="s" s="12">
        <v>1105</v>
      </c>
      <c r="C16" t="s" s="5">
        <v>1106</v>
      </c>
    </row>
    <row r="17">
      <c r="A17" t="s" s="5">
        <v>1107</v>
      </c>
      <c r="B17" t="s" s="16">
        <v>1108</v>
      </c>
      <c r="C17" t="s" s="5">
        <v>1109</v>
      </c>
    </row>
    <row r="18">
      <c r="A18" t="s" s="5">
        <v>1110</v>
      </c>
      <c r="B18" t="s" s="12">
        <v>1105</v>
      </c>
      <c r="C18" t="s" s="5">
        <v>1111</v>
      </c>
    </row>
    <row r="19">
      <c r="A19" t="s" s="5">
        <v>1112</v>
      </c>
      <c r="B19" t="s" s="12">
        <v>1105</v>
      </c>
      <c r="C19" t="s" s="5">
        <v>1106</v>
      </c>
    </row>
    <row r="20">
      <c r="A20" t="s" s="5">
        <v>1113</v>
      </c>
      <c r="B20" t="s" s="12">
        <v>1105</v>
      </c>
      <c r="C20" t="s" s="5">
        <v>803</v>
      </c>
    </row>
    <row r="21">
      <c r="A21" t="s" s="5">
        <v>1114</v>
      </c>
      <c r="B21" t="s" s="16">
        <v>1108</v>
      </c>
      <c r="C21" t="s" s="5">
        <v>1115</v>
      </c>
    </row>
    <row r="22">
      <c r="A22" t="s" s="5">
        <v>1116</v>
      </c>
      <c r="B22" t="s" s="12">
        <v>1117</v>
      </c>
      <c r="C22" t="s" s="5">
        <v>1118</v>
      </c>
    </row>
    <row r="23">
      <c r="A23" t="s" s="5">
        <v>1119</v>
      </c>
      <c r="B23" t="s" s="16">
        <v>1099</v>
      </c>
      <c r="C23" t="s" s="5">
        <v>1120</v>
      </c>
    </row>
    <row r="24">
      <c r="A24" t="s" s="5">
        <v>1121</v>
      </c>
      <c r="B24" t="s" s="16">
        <v>1096</v>
      </c>
      <c r="C24" t="s" s="5">
        <v>1122</v>
      </c>
    </row>
    <row r="25">
      <c r="A25" t="s" s="5">
        <v>1123</v>
      </c>
      <c r="B25" t="s" s="16">
        <v>1108</v>
      </c>
      <c r="C25" t="s" s="5">
        <v>1124</v>
      </c>
    </row>
    <row r="26">
      <c r="A26" t="s" s="5">
        <v>1125</v>
      </c>
      <c r="B26" t="s" s="14">
        <v>1126</v>
      </c>
      <c r="C26" t="s" s="5">
        <v>1127</v>
      </c>
    </row>
    <row r="28">
      <c r="A28" t="s" s="9">
        <v>1128</v>
      </c>
    </row>
  </sheetData>
  <pageMargins bottom="0.75" footer="0.3" header="0.3" left="0.7" right="0.7" top="0.75"/>
</worksheet>
</file>

<file path=xl/worksheets/sheet3.xml><?xml version="1.0" encoding="utf-8"?>
<worksheet xmlns="http://schemas.openxmlformats.org/spreadsheetml/2006/main">
  <dimension ref="A1:G75"/>
  <sheetViews>
    <sheetView workbookViewId="0" showGridLines="false">
      <pane ySplit="4.0" state="frozen" topLeftCell="A5" activePane="bottomLeft"/>
      <selection pane="bottomLeft"/>
    </sheetView>
  </sheetViews>
  <sheetFormatPr defaultRowHeight="15.0"/>
  <cols>
    <col min="1" max="1" width="30.0" customWidth="true"/>
    <col min="2" max="2" width="40.0" customWidth="true"/>
    <col min="3" max="3" width="32.0" customWidth="true"/>
    <col min="4" max="4" width="38.0" customWidth="true"/>
    <col min="5" max="5" width="62.0" customWidth="true"/>
    <col min="6" max="6" width="18.0" customWidth="true"/>
    <col min="7" max="7" width="78.0" customWidth="true"/>
  </cols>
  <sheetData>
    <row r="1" ht="20.0" customHeight="true">
      <c r="A1" t="s" s="1">
        <v>59</v>
      </c>
    </row>
    <row r="2">
      <c r="A2" t="s" s="2">
        <v>60</v>
      </c>
    </row>
    <row r="4" ht="32.0" customHeight="true">
      <c r="A4" t="s" s="3">
        <v>61</v>
      </c>
      <c r="B4" t="s" s="3">
        <v>62</v>
      </c>
      <c r="C4" t="s" s="3">
        <v>63</v>
      </c>
      <c r="D4" t="s" s="3">
        <v>64</v>
      </c>
      <c r="E4" t="s" s="3">
        <v>65</v>
      </c>
      <c r="F4" t="s" s="3">
        <v>66</v>
      </c>
      <c r="G4" t="s" s="3">
        <v>67</v>
      </c>
    </row>
    <row r="5" ht="20.0" customHeight="true">
      <c r="A5" t="s" s="4">
        <v>68</v>
      </c>
      <c r="B5" s="4"/>
      <c r="C5" s="4"/>
      <c r="D5" s="4"/>
      <c r="E5" s="4"/>
      <c r="F5" s="4"/>
      <c r="G5" s="4"/>
    </row>
    <row r="6">
      <c r="A6" t="s" s="5">
        <v>69</v>
      </c>
      <c r="B6" t="s" s="5">
        <v>70</v>
      </c>
      <c r="C6" t="s" s="5">
        <v>71</v>
      </c>
      <c r="D6" t="s" s="5">
        <v>72</v>
      </c>
      <c r="E6" t="s" s="5">
        <v>73</v>
      </c>
      <c r="F6" t="s" s="14">
        <v>38</v>
      </c>
      <c r="G6" t="s" s="5">
        <v>74</v>
      </c>
    </row>
    <row r="7">
      <c r="A7" t="s" s="5">
        <v>69</v>
      </c>
      <c r="B7" t="s" s="5">
        <v>75</v>
      </c>
      <c r="C7" t="s" s="5">
        <v>76</v>
      </c>
      <c r="D7" t="s" s="5">
        <v>77</v>
      </c>
      <c r="E7" t="s" s="5">
        <v>78</v>
      </c>
      <c r="F7" t="s" s="14">
        <v>38</v>
      </c>
      <c r="G7" t="s" s="5">
        <v>79</v>
      </c>
    </row>
    <row r="8">
      <c r="A8" t="s" s="5">
        <v>69</v>
      </c>
      <c r="B8" t="s" s="5">
        <v>80</v>
      </c>
      <c r="C8" t="s" s="5">
        <v>81</v>
      </c>
      <c r="D8" t="s" s="5">
        <v>81</v>
      </c>
      <c r="E8" t="s" s="5">
        <v>82</v>
      </c>
      <c r="F8" t="s" s="12">
        <v>40</v>
      </c>
      <c r="G8" t="s" s="5">
        <v>83</v>
      </c>
    </row>
    <row r="9" ht="20.0" customHeight="true">
      <c r="A9" t="s" s="4">
        <v>84</v>
      </c>
      <c r="B9" s="4"/>
      <c r="C9" s="4"/>
      <c r="D9" s="4"/>
      <c r="E9" s="4"/>
      <c r="F9" s="4"/>
      <c r="G9" s="4"/>
    </row>
    <row r="10">
      <c r="A10" t="s" s="5">
        <v>85</v>
      </c>
      <c r="B10" t="s" s="5">
        <v>86</v>
      </c>
      <c r="C10" t="s" s="5">
        <v>87</v>
      </c>
      <c r="D10" t="s" s="5">
        <v>88</v>
      </c>
      <c r="E10" t="s" s="5">
        <v>89</v>
      </c>
      <c r="F10" t="s" s="18">
        <v>36</v>
      </c>
      <c r="G10" t="s" s="5">
        <v>90</v>
      </c>
    </row>
    <row r="11">
      <c r="A11" t="s" s="5">
        <v>85</v>
      </c>
      <c r="B11" t="s" s="5">
        <v>91</v>
      </c>
      <c r="C11" t="s" s="5">
        <v>92</v>
      </c>
      <c r="D11" t="s" s="5">
        <v>93</v>
      </c>
      <c r="E11" t="s" s="5">
        <v>94</v>
      </c>
      <c r="F11" t="s" s="18">
        <v>36</v>
      </c>
      <c r="G11" t="s" s="5">
        <v>95</v>
      </c>
    </row>
    <row r="12">
      <c r="A12" t="s" s="5">
        <v>85</v>
      </c>
      <c r="B12" t="s" s="5">
        <v>96</v>
      </c>
      <c r="C12" t="s" s="5">
        <v>87</v>
      </c>
      <c r="D12" t="s" s="5">
        <v>97</v>
      </c>
      <c r="E12" t="s" s="5">
        <v>98</v>
      </c>
      <c r="F12" t="s" s="16">
        <v>34</v>
      </c>
      <c r="G12" t="s" s="5">
        <v>99</v>
      </c>
    </row>
    <row r="13">
      <c r="A13" t="s" s="5">
        <v>85</v>
      </c>
      <c r="B13" t="s" s="5">
        <v>100</v>
      </c>
      <c r="C13" t="s" s="5">
        <v>81</v>
      </c>
      <c r="D13" t="s" s="5">
        <v>81</v>
      </c>
      <c r="E13" t="s" s="5">
        <v>101</v>
      </c>
      <c r="F13" t="s" s="12">
        <v>40</v>
      </c>
      <c r="G13" t="s" s="5">
        <v>102</v>
      </c>
    </row>
    <row r="14">
      <c r="A14" t="s" s="5">
        <v>85</v>
      </c>
      <c r="B14" t="s" s="5">
        <v>103</v>
      </c>
      <c r="C14" t="s" s="5">
        <v>104</v>
      </c>
      <c r="D14" t="s" s="5">
        <v>105</v>
      </c>
      <c r="E14" t="s" s="5">
        <v>106</v>
      </c>
      <c r="F14" t="s" s="16">
        <v>34</v>
      </c>
      <c r="G14" t="s" s="5">
        <v>107</v>
      </c>
    </row>
    <row r="15" ht="20.0" customHeight="true">
      <c r="A15" t="s" s="4">
        <v>108</v>
      </c>
      <c r="B15" s="4"/>
      <c r="C15" s="4"/>
      <c r="D15" s="4"/>
      <c r="E15" s="4"/>
      <c r="F15" s="4"/>
      <c r="G15" s="4"/>
    </row>
    <row r="16">
      <c r="A16" t="s" s="5">
        <v>109</v>
      </c>
      <c r="B16" t="s" s="5">
        <v>110</v>
      </c>
      <c r="C16" t="s" s="5">
        <v>87</v>
      </c>
      <c r="D16" t="s" s="5">
        <v>111</v>
      </c>
      <c r="E16" t="s" s="5">
        <v>112</v>
      </c>
      <c r="F16" t="s" s="16">
        <v>34</v>
      </c>
      <c r="G16" t="s" s="5">
        <v>113</v>
      </c>
    </row>
    <row r="17">
      <c r="A17" t="s" s="5">
        <v>109</v>
      </c>
      <c r="B17" t="s" s="5">
        <v>114</v>
      </c>
      <c r="C17" t="s" s="5">
        <v>115</v>
      </c>
      <c r="D17" t="s" s="5">
        <v>115</v>
      </c>
      <c r="E17" t="s" s="5">
        <v>116</v>
      </c>
      <c r="F17" t="s" s="20">
        <v>42</v>
      </c>
      <c r="G17" t="s" s="5">
        <v>117</v>
      </c>
    </row>
    <row r="18" ht="20.0" customHeight="true">
      <c r="A18" t="s" s="4">
        <v>118</v>
      </c>
      <c r="B18" s="4"/>
      <c r="C18" s="4"/>
      <c r="D18" s="4"/>
      <c r="E18" s="4"/>
      <c r="F18" s="4"/>
      <c r="G18" s="4"/>
    </row>
    <row r="19">
      <c r="A19" t="s" s="5">
        <v>119</v>
      </c>
      <c r="B19" t="s" s="5">
        <v>120</v>
      </c>
      <c r="C19" t="s" s="5">
        <v>87</v>
      </c>
      <c r="D19" t="s" s="5">
        <v>121</v>
      </c>
      <c r="E19" t="s" s="5">
        <v>122</v>
      </c>
      <c r="F19" t="s" s="18">
        <v>36</v>
      </c>
      <c r="G19" t="s" s="5">
        <v>123</v>
      </c>
    </row>
    <row r="20">
      <c r="A20" t="s" s="5">
        <v>119</v>
      </c>
      <c r="B20" t="s" s="5">
        <v>124</v>
      </c>
      <c r="C20" t="s" s="5">
        <v>87</v>
      </c>
      <c r="D20" t="s" s="5">
        <v>125</v>
      </c>
      <c r="E20" t="s" s="5">
        <v>126</v>
      </c>
      <c r="F20" t="s" s="18">
        <v>36</v>
      </c>
      <c r="G20" t="s" s="5">
        <v>127</v>
      </c>
    </row>
    <row r="21">
      <c r="A21" t="s" s="5">
        <v>119</v>
      </c>
      <c r="B21" t="s" s="5">
        <v>128</v>
      </c>
      <c r="C21" t="s" s="5">
        <v>81</v>
      </c>
      <c r="D21" t="s" s="5">
        <v>81</v>
      </c>
      <c r="E21" t="s" s="5">
        <v>129</v>
      </c>
      <c r="F21" t="s" s="12">
        <v>40</v>
      </c>
      <c r="G21" t="s" s="5">
        <v>130</v>
      </c>
    </row>
    <row r="22" ht="20.0" customHeight="true">
      <c r="A22" t="s" s="4">
        <v>131</v>
      </c>
      <c r="B22" s="4"/>
      <c r="C22" s="4"/>
      <c r="D22" s="4"/>
      <c r="E22" s="4"/>
      <c r="F22" s="4"/>
      <c r="G22" s="4"/>
    </row>
    <row r="23">
      <c r="A23" t="s" s="5">
        <v>132</v>
      </c>
      <c r="B23" t="s" s="5">
        <v>133</v>
      </c>
      <c r="C23" t="s" s="5">
        <v>81</v>
      </c>
      <c r="D23" t="s" s="5">
        <v>81</v>
      </c>
      <c r="E23" t="s" s="5">
        <v>134</v>
      </c>
      <c r="F23" t="s" s="12">
        <v>40</v>
      </c>
      <c r="G23" t="s" s="5">
        <v>135</v>
      </c>
    </row>
    <row r="24">
      <c r="A24" t="s" s="5">
        <v>132</v>
      </c>
      <c r="B24" t="s" s="5">
        <v>136</v>
      </c>
      <c r="C24" t="s" s="5">
        <v>81</v>
      </c>
      <c r="D24" t="s" s="5">
        <v>81</v>
      </c>
      <c r="E24" t="s" s="5">
        <v>137</v>
      </c>
      <c r="F24" t="s" s="12">
        <v>40</v>
      </c>
      <c r="G24" t="s" s="5">
        <v>138</v>
      </c>
    </row>
    <row r="25" ht="20.0" customHeight="true">
      <c r="A25" t="s" s="4">
        <v>139</v>
      </c>
      <c r="B25" s="4"/>
      <c r="C25" s="4"/>
      <c r="D25" s="4"/>
      <c r="E25" s="4"/>
      <c r="F25" s="4"/>
      <c r="G25" s="4"/>
    </row>
    <row r="26">
      <c r="A26" t="s" s="5">
        <v>140</v>
      </c>
      <c r="B26" t="s" s="5">
        <v>141</v>
      </c>
      <c r="C26" t="s" s="5">
        <v>142</v>
      </c>
      <c r="D26" t="s" s="5">
        <v>143</v>
      </c>
      <c r="E26" t="s" s="5">
        <v>144</v>
      </c>
      <c r="F26" t="s" s="16">
        <v>34</v>
      </c>
      <c r="G26" t="s" s="5">
        <v>145</v>
      </c>
    </row>
    <row r="27">
      <c r="A27" t="s" s="5">
        <v>140</v>
      </c>
      <c r="B27" t="s" s="5">
        <v>146</v>
      </c>
      <c r="C27" t="s" s="5">
        <v>147</v>
      </c>
      <c r="D27" t="s" s="5">
        <v>148</v>
      </c>
      <c r="E27" t="s" s="5">
        <v>149</v>
      </c>
      <c r="F27" t="s" s="16">
        <v>34</v>
      </c>
      <c r="G27" t="s" s="5">
        <v>150</v>
      </c>
    </row>
    <row r="28">
      <c r="A28" t="s" s="5">
        <v>140</v>
      </c>
      <c r="B28" t="s" s="5">
        <v>151</v>
      </c>
      <c r="C28" t="s" s="5">
        <v>152</v>
      </c>
      <c r="D28" t="s" s="5">
        <v>137</v>
      </c>
      <c r="E28" t="s" s="5">
        <v>153</v>
      </c>
      <c r="F28" t="s" s="16">
        <v>34</v>
      </c>
      <c r="G28" t="s" s="5">
        <v>154</v>
      </c>
    </row>
    <row r="29">
      <c r="A29" t="s" s="5">
        <v>140</v>
      </c>
      <c r="B29" t="s" s="5">
        <v>155</v>
      </c>
      <c r="C29" t="s" s="5">
        <v>156</v>
      </c>
      <c r="D29" t="s" s="5">
        <v>157</v>
      </c>
      <c r="E29" t="s" s="5">
        <v>158</v>
      </c>
      <c r="F29" t="s" s="16">
        <v>34</v>
      </c>
      <c r="G29" t="s" s="5">
        <v>159</v>
      </c>
    </row>
    <row r="30" ht="20.0" customHeight="true">
      <c r="A30" t="s" s="4">
        <v>160</v>
      </c>
      <c r="B30" s="4"/>
      <c r="C30" s="4"/>
      <c r="D30" s="4"/>
      <c r="E30" s="4"/>
      <c r="F30" s="4"/>
      <c r="G30" s="4"/>
    </row>
    <row r="31">
      <c r="A31" t="s" s="5">
        <v>161</v>
      </c>
      <c r="B31" t="s" s="5">
        <v>162</v>
      </c>
      <c r="C31" t="s" s="5">
        <v>163</v>
      </c>
      <c r="D31" t="s" s="5">
        <v>164</v>
      </c>
      <c r="E31" t="s" s="5">
        <v>165</v>
      </c>
      <c r="F31" t="s" s="12">
        <v>40</v>
      </c>
      <c r="G31" t="s" s="5">
        <v>166</v>
      </c>
    </row>
    <row r="32">
      <c r="A32" t="s" s="5">
        <v>161</v>
      </c>
      <c r="B32" t="s" s="5">
        <v>167</v>
      </c>
      <c r="C32" t="s" s="5">
        <v>81</v>
      </c>
      <c r="D32" t="s" s="5">
        <v>81</v>
      </c>
      <c r="E32" t="s" s="5">
        <v>168</v>
      </c>
      <c r="F32" t="s" s="12">
        <v>40</v>
      </c>
      <c r="G32" t="s" s="5">
        <v>169</v>
      </c>
    </row>
    <row r="33">
      <c r="A33" t="s" s="5">
        <v>161</v>
      </c>
      <c r="B33" t="s" s="5">
        <v>170</v>
      </c>
      <c r="C33" t="s" s="5">
        <v>81</v>
      </c>
      <c r="D33" t="s" s="5">
        <v>81</v>
      </c>
      <c r="E33" t="s" s="5">
        <v>171</v>
      </c>
      <c r="F33" t="s" s="12">
        <v>40</v>
      </c>
      <c r="G33" t="s" s="5">
        <v>172</v>
      </c>
    </row>
    <row r="34">
      <c r="A34" t="s" s="5">
        <v>161</v>
      </c>
      <c r="B34" t="s" s="5">
        <v>173</v>
      </c>
      <c r="C34" t="s" s="5">
        <v>174</v>
      </c>
      <c r="D34" t="s" s="5">
        <v>175</v>
      </c>
      <c r="E34" t="s" s="5">
        <v>176</v>
      </c>
      <c r="F34" t="s" s="12">
        <v>40</v>
      </c>
      <c r="G34" t="s" s="5">
        <v>177</v>
      </c>
    </row>
    <row r="35">
      <c r="A35" t="s" s="5">
        <v>161</v>
      </c>
      <c r="B35" t="s" s="5">
        <v>178</v>
      </c>
      <c r="C35" t="s" s="5">
        <v>81</v>
      </c>
      <c r="D35" t="s" s="5">
        <v>81</v>
      </c>
      <c r="E35" t="s" s="5">
        <v>179</v>
      </c>
      <c r="F35" t="s" s="12">
        <v>40</v>
      </c>
      <c r="G35" t="s" s="5">
        <v>180</v>
      </c>
    </row>
    <row r="36">
      <c r="A36" t="s" s="5">
        <v>161</v>
      </c>
      <c r="B36" t="s" s="5">
        <v>181</v>
      </c>
      <c r="C36" t="s" s="5">
        <v>182</v>
      </c>
      <c r="D36" t="s" s="5">
        <v>183</v>
      </c>
      <c r="E36" t="s" s="5">
        <v>184</v>
      </c>
      <c r="F36" t="s" s="12">
        <v>40</v>
      </c>
      <c r="G36" t="s" s="5">
        <v>185</v>
      </c>
    </row>
    <row r="37" ht="20.0" customHeight="true">
      <c r="A37" t="s" s="4">
        <v>186</v>
      </c>
      <c r="B37" s="4"/>
      <c r="C37" s="4"/>
      <c r="D37" s="4"/>
      <c r="E37" s="4"/>
      <c r="F37" s="4"/>
      <c r="G37" s="4"/>
    </row>
    <row r="38">
      <c r="A38" t="s" s="5">
        <v>187</v>
      </c>
      <c r="B38" t="s" s="5">
        <v>188</v>
      </c>
      <c r="C38" t="s" s="5">
        <v>81</v>
      </c>
      <c r="D38" t="s" s="5">
        <v>81</v>
      </c>
      <c r="E38" t="s" s="5">
        <v>137</v>
      </c>
      <c r="F38" t="s" s="12">
        <v>40</v>
      </c>
      <c r="G38" t="s" s="5">
        <v>189</v>
      </c>
    </row>
    <row r="39">
      <c r="A39" t="s" s="5">
        <v>187</v>
      </c>
      <c r="B39" t="s" s="5">
        <v>190</v>
      </c>
      <c r="C39" t="s" s="5">
        <v>81</v>
      </c>
      <c r="D39" t="s" s="5">
        <v>81</v>
      </c>
      <c r="E39" t="s" s="5">
        <v>137</v>
      </c>
      <c r="F39" t="s" s="12">
        <v>40</v>
      </c>
      <c r="G39" t="s" s="5">
        <v>191</v>
      </c>
    </row>
    <row r="40">
      <c r="A40" t="s" s="5">
        <v>187</v>
      </c>
      <c r="B40" t="s" s="5">
        <v>192</v>
      </c>
      <c r="C40" t="s" s="5">
        <v>81</v>
      </c>
      <c r="D40" t="s" s="5">
        <v>81</v>
      </c>
      <c r="E40" t="s" s="5">
        <v>137</v>
      </c>
      <c r="F40" t="s" s="12">
        <v>40</v>
      </c>
      <c r="G40" t="s" s="5">
        <v>193</v>
      </c>
    </row>
    <row r="41">
      <c r="A41" t="s" s="5">
        <v>187</v>
      </c>
      <c r="B41" t="s" s="5">
        <v>194</v>
      </c>
      <c r="C41" t="s" s="5">
        <v>81</v>
      </c>
      <c r="D41" t="s" s="5">
        <v>81</v>
      </c>
      <c r="E41" t="s" s="5">
        <v>195</v>
      </c>
      <c r="F41" t="s" s="12">
        <v>40</v>
      </c>
      <c r="G41" t="s" s="5">
        <v>196</v>
      </c>
    </row>
    <row r="42">
      <c r="A42" t="s" s="5">
        <v>187</v>
      </c>
      <c r="B42" t="s" s="5">
        <v>197</v>
      </c>
      <c r="C42" t="s" s="5">
        <v>81</v>
      </c>
      <c r="D42" t="s" s="5">
        <v>81</v>
      </c>
      <c r="E42" t="s" s="5">
        <v>137</v>
      </c>
      <c r="F42" t="s" s="12">
        <v>40</v>
      </c>
      <c r="G42" t="s" s="5">
        <v>198</v>
      </c>
    </row>
    <row r="43">
      <c r="A43" t="s" s="5">
        <v>187</v>
      </c>
      <c r="B43" t="s" s="5">
        <v>199</v>
      </c>
      <c r="C43" t="s" s="5">
        <v>81</v>
      </c>
      <c r="D43" t="s" s="5">
        <v>81</v>
      </c>
      <c r="E43" t="s" s="5">
        <v>137</v>
      </c>
      <c r="F43" t="s" s="12">
        <v>40</v>
      </c>
      <c r="G43" t="s" s="5">
        <v>200</v>
      </c>
    </row>
    <row r="44">
      <c r="A44" t="s" s="5">
        <v>187</v>
      </c>
      <c r="B44" t="s" s="5">
        <v>201</v>
      </c>
      <c r="C44" t="s" s="5">
        <v>81</v>
      </c>
      <c r="D44" t="s" s="5">
        <v>81</v>
      </c>
      <c r="E44" t="s" s="5">
        <v>137</v>
      </c>
      <c r="F44" t="s" s="12">
        <v>40</v>
      </c>
      <c r="G44" t="s" s="5">
        <v>202</v>
      </c>
    </row>
    <row r="45">
      <c r="A45" t="s" s="5">
        <v>187</v>
      </c>
      <c r="B45" t="s" s="5">
        <v>203</v>
      </c>
      <c r="C45" t="s" s="5">
        <v>81</v>
      </c>
      <c r="D45" t="s" s="5">
        <v>81</v>
      </c>
      <c r="E45" t="s" s="5">
        <v>137</v>
      </c>
      <c r="F45" t="s" s="12">
        <v>40</v>
      </c>
      <c r="G45" t="s" s="5">
        <v>204</v>
      </c>
    </row>
    <row r="46">
      <c r="A46" t="s" s="5">
        <v>187</v>
      </c>
      <c r="B46" t="s" s="5">
        <v>205</v>
      </c>
      <c r="C46" t="s" s="5">
        <v>81</v>
      </c>
      <c r="D46" t="s" s="5">
        <v>81</v>
      </c>
      <c r="E46" t="s" s="5">
        <v>137</v>
      </c>
      <c r="F46" t="s" s="12">
        <v>40</v>
      </c>
      <c r="G46" t="s" s="5">
        <v>206</v>
      </c>
    </row>
    <row r="47" ht="20.0" customHeight="true">
      <c r="A47" t="s" s="4">
        <v>207</v>
      </c>
      <c r="B47" s="4"/>
      <c r="C47" s="4"/>
      <c r="D47" s="4"/>
      <c r="E47" s="4"/>
      <c r="F47" s="4"/>
      <c r="G47" s="4"/>
    </row>
    <row r="48">
      <c r="A48" t="s" s="5">
        <v>208</v>
      </c>
      <c r="B48" t="s" s="5">
        <v>209</v>
      </c>
      <c r="C48" t="s" s="5">
        <v>81</v>
      </c>
      <c r="D48" t="s" s="5">
        <v>81</v>
      </c>
      <c r="E48" t="s" s="5">
        <v>137</v>
      </c>
      <c r="F48" t="s" s="12">
        <v>40</v>
      </c>
      <c r="G48" t="s" s="5">
        <v>210</v>
      </c>
    </row>
    <row r="49">
      <c r="A49" t="s" s="5">
        <v>208</v>
      </c>
      <c r="B49" t="s" s="5">
        <v>211</v>
      </c>
      <c r="C49" t="s" s="5">
        <v>81</v>
      </c>
      <c r="D49" t="s" s="5">
        <v>81</v>
      </c>
      <c r="E49" t="s" s="5">
        <v>137</v>
      </c>
      <c r="F49" t="s" s="12">
        <v>40</v>
      </c>
      <c r="G49" t="s" s="5">
        <v>212</v>
      </c>
    </row>
    <row r="50">
      <c r="A50" t="s" s="5">
        <v>208</v>
      </c>
      <c r="B50" t="s" s="5">
        <v>213</v>
      </c>
      <c r="C50" t="s" s="5">
        <v>81</v>
      </c>
      <c r="D50" t="s" s="5">
        <v>81</v>
      </c>
      <c r="E50" t="s" s="5">
        <v>137</v>
      </c>
      <c r="F50" t="s" s="12">
        <v>40</v>
      </c>
      <c r="G50" t="s" s="5">
        <v>212</v>
      </c>
    </row>
    <row r="51">
      <c r="A51" t="s" s="5">
        <v>208</v>
      </c>
      <c r="B51" t="s" s="5">
        <v>214</v>
      </c>
      <c r="C51" t="s" s="5">
        <v>81</v>
      </c>
      <c r="D51" t="s" s="5">
        <v>81</v>
      </c>
      <c r="E51" t="s" s="5">
        <v>137</v>
      </c>
      <c r="F51" t="s" s="12">
        <v>40</v>
      </c>
      <c r="G51" t="s" s="5">
        <v>215</v>
      </c>
    </row>
    <row r="52" ht="20.0" customHeight="true">
      <c r="A52" t="s" s="4">
        <v>216</v>
      </c>
      <c r="B52" s="4"/>
      <c r="C52" s="4"/>
      <c r="D52" s="4"/>
      <c r="E52" s="4"/>
      <c r="F52" s="4"/>
      <c r="G52" s="4"/>
    </row>
    <row r="53">
      <c r="A53" t="s" s="5">
        <v>217</v>
      </c>
      <c r="B53" t="s" s="5">
        <v>218</v>
      </c>
      <c r="C53" t="s" s="5">
        <v>219</v>
      </c>
      <c r="D53" t="s" s="5">
        <v>220</v>
      </c>
      <c r="E53" t="s" s="5">
        <v>221</v>
      </c>
      <c r="F53" t="s" s="16">
        <v>34</v>
      </c>
      <c r="G53" t="s" s="5">
        <v>222</v>
      </c>
    </row>
    <row r="54">
      <c r="A54" t="s" s="5">
        <v>217</v>
      </c>
      <c r="B54" t="s" s="5">
        <v>223</v>
      </c>
      <c r="C54" t="s" s="5">
        <v>224</v>
      </c>
      <c r="D54" t="s" s="5">
        <v>225</v>
      </c>
      <c r="E54" t="s" s="5">
        <v>226</v>
      </c>
      <c r="F54" t="s" s="16">
        <v>34</v>
      </c>
      <c r="G54" t="s" s="5">
        <v>227</v>
      </c>
    </row>
    <row r="55">
      <c r="A55" t="s" s="5">
        <v>228</v>
      </c>
      <c r="B55" t="s" s="5">
        <v>229</v>
      </c>
      <c r="C55" t="s" s="5">
        <v>219</v>
      </c>
      <c r="D55" t="s" s="5">
        <v>230</v>
      </c>
      <c r="E55" t="s" s="5">
        <v>231</v>
      </c>
      <c r="F55" t="s" s="12">
        <v>40</v>
      </c>
      <c r="G55" t="s" s="5">
        <v>232</v>
      </c>
    </row>
    <row r="56">
      <c r="A56" t="s" s="5">
        <v>228</v>
      </c>
      <c r="B56" t="s" s="5">
        <v>233</v>
      </c>
      <c r="C56" t="s" s="5">
        <v>234</v>
      </c>
      <c r="D56" t="s" s="5">
        <v>235</v>
      </c>
      <c r="E56" t="s" s="5">
        <v>137</v>
      </c>
      <c r="F56" t="s" s="12">
        <v>40</v>
      </c>
      <c r="G56" t="s" s="5">
        <v>236</v>
      </c>
    </row>
    <row r="57">
      <c r="A57" t="s" s="5">
        <v>237</v>
      </c>
      <c r="B57" t="s" s="5">
        <v>238</v>
      </c>
      <c r="C57" t="s" s="5">
        <v>219</v>
      </c>
      <c r="D57" t="s" s="5">
        <v>239</v>
      </c>
      <c r="E57" t="s" s="5">
        <v>240</v>
      </c>
      <c r="F57" t="s" s="16">
        <v>34</v>
      </c>
      <c r="G57" t="s" s="5">
        <v>241</v>
      </c>
    </row>
    <row r="58" ht="20.0" customHeight="true">
      <c r="A58" t="s" s="4">
        <v>242</v>
      </c>
      <c r="B58" s="4"/>
      <c r="C58" s="4"/>
      <c r="D58" s="4"/>
      <c r="E58" s="4"/>
      <c r="F58" s="4"/>
      <c r="G58" s="4"/>
    </row>
    <row r="59">
      <c r="A59" t="s" s="5">
        <v>243</v>
      </c>
      <c r="B59" t="s" s="5">
        <v>244</v>
      </c>
      <c r="C59" t="s" s="5">
        <v>142</v>
      </c>
      <c r="D59" t="s" s="5">
        <v>245</v>
      </c>
      <c r="E59" t="s" s="5">
        <v>246</v>
      </c>
      <c r="F59" t="s" s="16">
        <v>34</v>
      </c>
      <c r="G59" t="s" s="5">
        <v>247</v>
      </c>
    </row>
    <row r="60">
      <c r="A60" t="s" s="5">
        <v>243</v>
      </c>
      <c r="B60" t="s" s="5">
        <v>248</v>
      </c>
      <c r="C60" t="s" s="5">
        <v>142</v>
      </c>
      <c r="D60" t="s" s="5">
        <v>249</v>
      </c>
      <c r="E60" t="s" s="5">
        <v>250</v>
      </c>
      <c r="F60" t="s" s="16">
        <v>34</v>
      </c>
      <c r="G60" t="s" s="5">
        <v>251</v>
      </c>
    </row>
    <row r="61">
      <c r="A61" t="s" s="5">
        <v>243</v>
      </c>
      <c r="B61" t="s" s="5">
        <v>252</v>
      </c>
      <c r="C61" t="s" s="5">
        <v>147</v>
      </c>
      <c r="D61" t="s" s="5">
        <v>253</v>
      </c>
      <c r="E61" t="s" s="5">
        <v>254</v>
      </c>
      <c r="F61" t="s" s="16">
        <v>34</v>
      </c>
      <c r="G61" t="s" s="5">
        <v>255</v>
      </c>
    </row>
    <row r="62">
      <c r="A62" t="s" s="5">
        <v>243</v>
      </c>
      <c r="B62" t="s" s="5">
        <v>256</v>
      </c>
      <c r="C62" t="s" s="5">
        <v>142</v>
      </c>
      <c r="D62" t="s" s="5">
        <v>257</v>
      </c>
      <c r="E62" t="s" s="5">
        <v>258</v>
      </c>
      <c r="F62" t="s" s="16">
        <v>34</v>
      </c>
      <c r="G62" t="s" s="5">
        <v>259</v>
      </c>
    </row>
    <row r="63" ht="20.0" customHeight="true">
      <c r="A63" t="s" s="4">
        <v>260</v>
      </c>
      <c r="B63" s="4"/>
      <c r="C63" s="4"/>
      <c r="D63" s="4"/>
      <c r="E63" s="4"/>
      <c r="F63" s="4"/>
      <c r="G63" s="4"/>
    </row>
    <row r="64">
      <c r="A64" t="s" s="5">
        <v>261</v>
      </c>
      <c r="B64" t="s" s="5">
        <v>262</v>
      </c>
      <c r="C64" t="s" s="5">
        <v>263</v>
      </c>
      <c r="D64" t="s" s="5">
        <v>264</v>
      </c>
      <c r="E64" t="s" s="5">
        <v>265</v>
      </c>
      <c r="F64" t="s" s="16">
        <v>34</v>
      </c>
      <c r="G64" t="s" s="5">
        <v>266</v>
      </c>
    </row>
    <row r="65" ht="20.0" customHeight="true">
      <c r="A65" t="s" s="4">
        <v>267</v>
      </c>
      <c r="B65" s="4"/>
      <c r="C65" s="4"/>
      <c r="D65" s="4"/>
      <c r="E65" s="4"/>
      <c r="F65" s="4"/>
      <c r="G65" s="4"/>
    </row>
    <row r="66">
      <c r="A66" t="s" s="5">
        <v>268</v>
      </c>
      <c r="B66" t="s" s="5">
        <v>262</v>
      </c>
      <c r="C66" t="s" s="5">
        <v>269</v>
      </c>
      <c r="D66" t="s" s="5">
        <v>264</v>
      </c>
      <c r="E66" t="s" s="5">
        <v>270</v>
      </c>
      <c r="F66" t="s" s="14">
        <v>38</v>
      </c>
      <c r="G66" t="s" s="5">
        <v>271</v>
      </c>
    </row>
    <row r="67" ht="20.0" customHeight="true">
      <c r="A67" t="s" s="4">
        <v>272</v>
      </c>
      <c r="B67" s="4"/>
      <c r="C67" s="4"/>
      <c r="D67" s="4"/>
      <c r="E67" s="4"/>
      <c r="F67" s="4"/>
      <c r="G67" s="4"/>
    </row>
    <row r="68">
      <c r="A68" t="s" s="5">
        <v>273</v>
      </c>
      <c r="B68" t="s" s="5">
        <v>274</v>
      </c>
      <c r="C68" t="s" s="5">
        <v>275</v>
      </c>
      <c r="D68" t="s" s="5">
        <v>276</v>
      </c>
      <c r="E68" t="s" s="5">
        <v>277</v>
      </c>
      <c r="F68" t="s" s="16">
        <v>34</v>
      </c>
      <c r="G68" t="s" s="5">
        <v>278</v>
      </c>
    </row>
    <row r="69">
      <c r="A69" t="s" s="5">
        <v>273</v>
      </c>
      <c r="B69" t="s" s="5">
        <v>279</v>
      </c>
      <c r="C69" t="s" s="5">
        <v>280</v>
      </c>
      <c r="D69" t="s" s="5">
        <v>281</v>
      </c>
      <c r="E69" t="s" s="5">
        <v>282</v>
      </c>
      <c r="F69" t="s" s="16">
        <v>34</v>
      </c>
      <c r="G69" t="s" s="5">
        <v>283</v>
      </c>
    </row>
    <row r="70">
      <c r="A70" t="s" s="5">
        <v>273</v>
      </c>
      <c r="B70" t="s" s="5">
        <v>284</v>
      </c>
      <c r="C70" t="s" s="5">
        <v>285</v>
      </c>
      <c r="D70" t="s" s="5">
        <v>286</v>
      </c>
      <c r="E70" t="s" s="5">
        <v>287</v>
      </c>
      <c r="F70" t="s" s="14">
        <v>38</v>
      </c>
      <c r="G70" t="s" s="5">
        <v>288</v>
      </c>
    </row>
    <row r="71">
      <c r="A71" t="s" s="5">
        <v>273</v>
      </c>
      <c r="B71" t="s" s="5">
        <v>289</v>
      </c>
      <c r="C71" t="s" s="5">
        <v>290</v>
      </c>
      <c r="D71" t="s" s="5">
        <v>291</v>
      </c>
      <c r="E71" t="s" s="5">
        <v>292</v>
      </c>
      <c r="F71" t="s" s="16">
        <v>34</v>
      </c>
      <c r="G71" t="s" s="5">
        <v>293</v>
      </c>
    </row>
    <row r="72">
      <c r="A72" t="s" s="5">
        <v>273</v>
      </c>
      <c r="B72" t="s" s="5">
        <v>294</v>
      </c>
      <c r="C72" t="s" s="5">
        <v>87</v>
      </c>
      <c r="D72" t="s" s="5">
        <v>111</v>
      </c>
      <c r="E72" t="s" s="5">
        <v>295</v>
      </c>
      <c r="F72" t="s" s="16">
        <v>34</v>
      </c>
      <c r="G72" t="s" s="5">
        <v>296</v>
      </c>
    </row>
    <row r="73">
      <c r="A73" t="s" s="5">
        <v>273</v>
      </c>
      <c r="B73" t="s" s="5">
        <v>297</v>
      </c>
      <c r="C73" t="s" s="5">
        <v>87</v>
      </c>
      <c r="D73" t="s" s="5">
        <v>298</v>
      </c>
      <c r="E73" t="s" s="5">
        <v>299</v>
      </c>
      <c r="F73" t="s" s="12">
        <v>40</v>
      </c>
      <c r="G73" t="s" s="5">
        <v>300</v>
      </c>
    </row>
    <row r="74">
      <c r="A74" t="s" s="5">
        <v>273</v>
      </c>
      <c r="B74" t="s" s="5">
        <v>301</v>
      </c>
      <c r="C74" t="s" s="5">
        <v>302</v>
      </c>
      <c r="D74" t="s" s="5">
        <v>303</v>
      </c>
      <c r="E74" t="s" s="5">
        <v>137</v>
      </c>
      <c r="F74" t="s" s="12">
        <v>40</v>
      </c>
      <c r="G74" t="s" s="5">
        <v>304</v>
      </c>
    </row>
    <row r="75">
      <c r="A75" t="s" s="5">
        <v>273</v>
      </c>
      <c r="B75" t="s" s="5">
        <v>305</v>
      </c>
      <c r="C75" t="s" s="5">
        <v>306</v>
      </c>
      <c r="D75" t="s" s="5">
        <v>303</v>
      </c>
      <c r="E75" t="s" s="5">
        <v>137</v>
      </c>
      <c r="F75" t="s" s="12">
        <v>40</v>
      </c>
      <c r="G75" t="s" s="5">
        <v>307</v>
      </c>
    </row>
  </sheetData>
  <autoFilter ref="A4:G75"/>
  <mergeCells count="16">
    <mergeCell ref="A1:G1"/>
    <mergeCell ref="A2:G2"/>
    <mergeCell ref="A5:G5"/>
    <mergeCell ref="A9:G9"/>
    <mergeCell ref="A15:G15"/>
    <mergeCell ref="A18:G18"/>
    <mergeCell ref="A22:G22"/>
    <mergeCell ref="A25:G25"/>
    <mergeCell ref="A30:G30"/>
    <mergeCell ref="A37:G37"/>
    <mergeCell ref="A47:G47"/>
    <mergeCell ref="A52:G52"/>
    <mergeCell ref="A58:G58"/>
    <mergeCell ref="A63:G63"/>
    <mergeCell ref="A65:G65"/>
    <mergeCell ref="A67:G67"/>
  </mergeCells>
  <pageMargins bottom="0.75" footer="0.3" header="0.3" left="0.7" right="0.7" top="0.75"/>
</worksheet>
</file>

<file path=xl/worksheets/sheet4.xml><?xml version="1.0" encoding="utf-8"?>
<worksheet xmlns="http://schemas.openxmlformats.org/spreadsheetml/2006/main">
  <dimension ref="A1:G42"/>
  <sheetViews>
    <sheetView workbookViewId="0" showGridLines="false">
      <pane ySplit="4.0" state="frozen" topLeftCell="A5" activePane="bottomLeft"/>
      <selection pane="bottomLeft"/>
    </sheetView>
  </sheetViews>
  <sheetFormatPr defaultRowHeight="15.0"/>
  <cols>
    <col min="1" max="1" width="30.0" customWidth="true"/>
    <col min="2" max="2" width="40.0" customWidth="true"/>
    <col min="3" max="3" width="32.0" customWidth="true"/>
    <col min="4" max="4" width="38.0" customWidth="true"/>
    <col min="5" max="5" width="62.0" customWidth="true"/>
    <col min="6" max="6" width="18.0" customWidth="true"/>
    <col min="7" max="7" width="78.0" customWidth="true"/>
  </cols>
  <sheetData>
    <row r="1" ht="20.0" customHeight="true">
      <c r="A1" t="s" s="1">
        <v>308</v>
      </c>
    </row>
    <row r="2">
      <c r="A2" t="s" s="2">
        <v>309</v>
      </c>
    </row>
    <row r="4" ht="32.0" customHeight="true">
      <c r="A4" t="s" s="3">
        <v>61</v>
      </c>
      <c r="B4" t="s" s="3">
        <v>62</v>
      </c>
      <c r="C4" t="s" s="3">
        <v>63</v>
      </c>
      <c r="D4" t="s" s="3">
        <v>64</v>
      </c>
      <c r="E4" t="s" s="3">
        <v>65</v>
      </c>
      <c r="F4" t="s" s="3">
        <v>66</v>
      </c>
      <c r="G4" t="s" s="3">
        <v>67</v>
      </c>
    </row>
    <row r="5" ht="20.0" customHeight="true">
      <c r="A5" t="s" s="4">
        <v>310</v>
      </c>
      <c r="B5" s="4"/>
      <c r="C5" s="4"/>
      <c r="D5" s="4"/>
      <c r="E5" s="4"/>
      <c r="F5" s="4"/>
      <c r="G5" s="4"/>
    </row>
    <row r="6">
      <c r="A6" t="s" s="5">
        <v>21</v>
      </c>
      <c r="B6" t="s" s="5">
        <v>311</v>
      </c>
      <c r="C6" t="s" s="5">
        <v>142</v>
      </c>
      <c r="D6" t="s" s="5">
        <v>312</v>
      </c>
      <c r="E6" t="s" s="5">
        <v>313</v>
      </c>
      <c r="F6" t="s" s="16">
        <v>34</v>
      </c>
      <c r="G6" t="s" s="5">
        <v>314</v>
      </c>
    </row>
    <row r="7">
      <c r="A7" t="s" s="5">
        <v>21</v>
      </c>
      <c r="B7" t="s" s="5">
        <v>315</v>
      </c>
      <c r="C7" t="s" s="5">
        <v>142</v>
      </c>
      <c r="D7" t="s" s="5">
        <v>316</v>
      </c>
      <c r="E7" t="s" s="5">
        <v>317</v>
      </c>
      <c r="F7" t="s" s="16">
        <v>34</v>
      </c>
      <c r="G7" t="s" s="5">
        <v>318</v>
      </c>
    </row>
    <row r="8">
      <c r="A8" t="s" s="5">
        <v>21</v>
      </c>
      <c r="B8" t="s" s="5">
        <v>319</v>
      </c>
      <c r="C8" t="s" s="5">
        <v>142</v>
      </c>
      <c r="D8" t="s" s="5">
        <v>320</v>
      </c>
      <c r="E8" t="s" s="5">
        <v>321</v>
      </c>
      <c r="F8" t="s" s="16">
        <v>34</v>
      </c>
      <c r="G8" t="s" s="5">
        <v>322</v>
      </c>
    </row>
    <row r="9">
      <c r="A9" t="s" s="5">
        <v>21</v>
      </c>
      <c r="B9" t="s" s="5">
        <v>323</v>
      </c>
      <c r="C9" t="s" s="5">
        <v>156</v>
      </c>
      <c r="D9" t="s" s="5">
        <v>157</v>
      </c>
      <c r="E9" t="s" s="5">
        <v>324</v>
      </c>
      <c r="F9" t="s" s="16">
        <v>34</v>
      </c>
      <c r="G9" t="s" s="5">
        <v>325</v>
      </c>
    </row>
    <row r="10">
      <c r="A10" t="s" s="5">
        <v>21</v>
      </c>
      <c r="B10" t="s" s="5">
        <v>326</v>
      </c>
      <c r="C10" t="s" s="5">
        <v>87</v>
      </c>
      <c r="D10" t="s" s="5">
        <v>327</v>
      </c>
      <c r="E10" t="s" s="5">
        <v>328</v>
      </c>
      <c r="F10" t="s" s="16">
        <v>34</v>
      </c>
      <c r="G10" t="s" s="5">
        <v>329</v>
      </c>
    </row>
    <row r="11">
      <c r="A11" t="s" s="5">
        <v>21</v>
      </c>
      <c r="B11" t="s" s="5">
        <v>330</v>
      </c>
      <c r="C11" t="s" s="5">
        <v>87</v>
      </c>
      <c r="D11" t="s" s="5">
        <v>331</v>
      </c>
      <c r="E11" t="s" s="5">
        <v>332</v>
      </c>
      <c r="F11" t="s" s="16">
        <v>34</v>
      </c>
      <c r="G11" t="s" s="5">
        <v>333</v>
      </c>
    </row>
    <row r="12">
      <c r="A12" t="s" s="5">
        <v>21</v>
      </c>
      <c r="B12" t="s" s="5">
        <v>334</v>
      </c>
      <c r="C12" t="s" s="5">
        <v>104</v>
      </c>
      <c r="D12" t="s" s="5">
        <v>335</v>
      </c>
      <c r="E12" t="s" s="5">
        <v>336</v>
      </c>
      <c r="F12" t="s" s="16">
        <v>34</v>
      </c>
      <c r="G12" t="s" s="5">
        <v>337</v>
      </c>
    </row>
    <row r="13">
      <c r="A13" t="s" s="5">
        <v>21</v>
      </c>
      <c r="B13" t="s" s="5">
        <v>338</v>
      </c>
      <c r="C13" t="s" s="5">
        <v>152</v>
      </c>
      <c r="D13" t="s" s="5">
        <v>137</v>
      </c>
      <c r="E13" t="s" s="5">
        <v>339</v>
      </c>
      <c r="F13" t="s" s="16">
        <v>34</v>
      </c>
      <c r="G13" t="s" s="5">
        <v>340</v>
      </c>
    </row>
    <row r="14">
      <c r="A14" t="s" s="5">
        <v>21</v>
      </c>
      <c r="B14" t="s" s="5">
        <v>341</v>
      </c>
      <c r="C14" t="s" s="5">
        <v>152</v>
      </c>
      <c r="D14" t="s" s="5">
        <v>137</v>
      </c>
      <c r="E14" t="s" s="5">
        <v>342</v>
      </c>
      <c r="F14" t="s" s="16">
        <v>34</v>
      </c>
      <c r="G14" t="s" s="5">
        <v>343</v>
      </c>
    </row>
    <row r="15">
      <c r="A15" t="s" s="5">
        <v>21</v>
      </c>
      <c r="B15" t="s" s="5">
        <v>344</v>
      </c>
      <c r="C15" t="s" s="5">
        <v>142</v>
      </c>
      <c r="D15" t="s" s="5">
        <v>249</v>
      </c>
      <c r="E15" t="s" s="5">
        <v>345</v>
      </c>
      <c r="F15" t="s" s="16">
        <v>34</v>
      </c>
      <c r="G15" t="s" s="5">
        <v>346</v>
      </c>
    </row>
    <row r="16">
      <c r="A16" t="s" s="5">
        <v>21</v>
      </c>
      <c r="B16" t="s" s="5">
        <v>347</v>
      </c>
      <c r="C16" t="s" s="5">
        <v>152</v>
      </c>
      <c r="D16" t="s" s="5">
        <v>137</v>
      </c>
      <c r="E16" t="s" s="5">
        <v>348</v>
      </c>
      <c r="F16" t="s" s="16">
        <v>34</v>
      </c>
      <c r="G16" t="s" s="5">
        <v>343</v>
      </c>
    </row>
    <row r="17">
      <c r="A17" t="s" s="5">
        <v>21</v>
      </c>
      <c r="B17" t="s" s="5">
        <v>349</v>
      </c>
      <c r="C17" t="s" s="5">
        <v>87</v>
      </c>
      <c r="D17" t="s" s="5">
        <v>97</v>
      </c>
      <c r="E17" t="s" s="5">
        <v>350</v>
      </c>
      <c r="F17" t="s" s="16">
        <v>34</v>
      </c>
      <c r="G17" t="s" s="5">
        <v>351</v>
      </c>
    </row>
    <row r="18">
      <c r="A18" t="s" s="5">
        <v>21</v>
      </c>
      <c r="B18" t="s" s="5">
        <v>352</v>
      </c>
      <c r="C18" t="s" s="5">
        <v>87</v>
      </c>
      <c r="D18" t="s" s="5">
        <v>353</v>
      </c>
      <c r="E18" t="s" s="5">
        <v>354</v>
      </c>
      <c r="F18" t="s" s="16">
        <v>34</v>
      </c>
      <c r="G18" t="s" s="5">
        <v>355</v>
      </c>
    </row>
    <row r="19">
      <c r="A19" t="s" s="5">
        <v>21</v>
      </c>
      <c r="B19" t="s" s="5">
        <v>356</v>
      </c>
      <c r="C19" t="s" s="5">
        <v>357</v>
      </c>
      <c r="D19" t="s" s="5">
        <v>358</v>
      </c>
      <c r="E19" t="s" s="5">
        <v>359</v>
      </c>
      <c r="F19" t="s" s="16">
        <v>34</v>
      </c>
      <c r="G19" t="s" s="5">
        <v>360</v>
      </c>
    </row>
    <row r="20">
      <c r="A20" t="s" s="5">
        <v>21</v>
      </c>
      <c r="B20" t="s" s="5">
        <v>361</v>
      </c>
      <c r="C20" t="s" s="5">
        <v>362</v>
      </c>
      <c r="D20" t="s" s="5">
        <v>363</v>
      </c>
      <c r="E20" t="s" s="5">
        <v>359</v>
      </c>
      <c r="F20" t="s" s="16">
        <v>34</v>
      </c>
      <c r="G20" t="s" s="5">
        <v>364</v>
      </c>
    </row>
    <row r="21">
      <c r="A21" t="s" s="5">
        <v>21</v>
      </c>
      <c r="B21" t="s" s="5">
        <v>365</v>
      </c>
      <c r="C21" t="s" s="5">
        <v>366</v>
      </c>
      <c r="D21" t="s" s="5">
        <v>367</v>
      </c>
      <c r="E21" t="s" s="5">
        <v>368</v>
      </c>
      <c r="F21" t="s" s="14">
        <v>38</v>
      </c>
      <c r="G21" t="s" s="5">
        <v>369</v>
      </c>
    </row>
    <row r="22">
      <c r="A22" t="s" s="5">
        <v>21</v>
      </c>
      <c r="B22" t="s" s="5">
        <v>370</v>
      </c>
      <c r="C22" t="s" s="5">
        <v>115</v>
      </c>
      <c r="D22" t="s" s="5">
        <v>115</v>
      </c>
      <c r="E22" t="s" s="5">
        <v>371</v>
      </c>
      <c r="F22" t="s" s="20">
        <v>42</v>
      </c>
      <c r="G22" t="s" s="5">
        <v>372</v>
      </c>
    </row>
    <row r="23">
      <c r="A23" t="s" s="5">
        <v>21</v>
      </c>
      <c r="B23" t="s" s="5">
        <v>373</v>
      </c>
      <c r="C23" t="s" s="5">
        <v>81</v>
      </c>
      <c r="D23" t="s" s="5">
        <v>81</v>
      </c>
      <c r="E23" t="s" s="5">
        <v>137</v>
      </c>
      <c r="F23" t="s" s="12">
        <v>40</v>
      </c>
      <c r="G23" t="s" s="5">
        <v>374</v>
      </c>
    </row>
    <row r="24" ht="20.0" customHeight="true">
      <c r="A24" t="s" s="4">
        <v>375</v>
      </c>
      <c r="B24" s="4"/>
      <c r="C24" s="4"/>
      <c r="D24" s="4"/>
      <c r="E24" s="4"/>
      <c r="F24" s="4"/>
      <c r="G24" s="4"/>
    </row>
    <row r="25">
      <c r="A25" t="s" s="5">
        <v>21</v>
      </c>
      <c r="B25" t="s" s="5">
        <v>376</v>
      </c>
      <c r="C25" t="s" s="5">
        <v>377</v>
      </c>
      <c r="D25" t="s" s="5">
        <v>378</v>
      </c>
      <c r="E25" t="s" s="5">
        <v>379</v>
      </c>
      <c r="F25" t="s" s="16">
        <v>34</v>
      </c>
      <c r="G25" t="s" s="5">
        <v>380</v>
      </c>
    </row>
    <row r="26" ht="20.0" customHeight="true">
      <c r="A26" t="s" s="4">
        <v>381</v>
      </c>
      <c r="B26" s="4"/>
      <c r="C26" s="4"/>
      <c r="D26" s="4"/>
      <c r="E26" s="4"/>
      <c r="F26" s="4"/>
      <c r="G26" s="4"/>
    </row>
    <row r="27">
      <c r="A27" t="s" s="5">
        <v>21</v>
      </c>
      <c r="B27" t="s" s="5">
        <v>382</v>
      </c>
      <c r="C27" t="s" s="5">
        <v>87</v>
      </c>
      <c r="D27" t="s" s="5">
        <v>383</v>
      </c>
      <c r="E27" t="s" s="5">
        <v>384</v>
      </c>
      <c r="F27" t="s" s="16">
        <v>34</v>
      </c>
      <c r="G27" t="s" s="5">
        <v>385</v>
      </c>
    </row>
    <row r="28">
      <c r="A28" t="s" s="5">
        <v>21</v>
      </c>
      <c r="B28" t="s" s="5">
        <v>386</v>
      </c>
      <c r="C28" t="s" s="5">
        <v>156</v>
      </c>
      <c r="D28" t="s" s="5">
        <v>387</v>
      </c>
      <c r="E28" t="s" s="5">
        <v>388</v>
      </c>
      <c r="F28" t="s" s="16">
        <v>34</v>
      </c>
      <c r="G28" t="s" s="5">
        <v>389</v>
      </c>
    </row>
    <row r="29">
      <c r="A29" t="s" s="5">
        <v>21</v>
      </c>
      <c r="B29" t="s" s="5">
        <v>390</v>
      </c>
      <c r="C29" t="s" s="5">
        <v>87</v>
      </c>
      <c r="D29" t="s" s="5">
        <v>391</v>
      </c>
      <c r="E29" t="s" s="5">
        <v>392</v>
      </c>
      <c r="F29" t="s" s="16">
        <v>34</v>
      </c>
      <c r="G29" t="s" s="5">
        <v>393</v>
      </c>
    </row>
    <row r="30">
      <c r="A30" t="s" s="5">
        <v>21</v>
      </c>
      <c r="B30" t="s" s="5">
        <v>394</v>
      </c>
      <c r="C30" t="s" s="5">
        <v>87</v>
      </c>
      <c r="D30" t="s" s="5">
        <v>395</v>
      </c>
      <c r="E30" t="s" s="5">
        <v>396</v>
      </c>
      <c r="F30" t="s" s="20">
        <v>42</v>
      </c>
      <c r="G30" t="s" s="5">
        <v>397</v>
      </c>
    </row>
    <row r="31">
      <c r="A31" t="s" s="5">
        <v>21</v>
      </c>
      <c r="B31" t="s" s="5">
        <v>398</v>
      </c>
      <c r="C31" t="s" s="5">
        <v>87</v>
      </c>
      <c r="D31" t="s" s="5">
        <v>399</v>
      </c>
      <c r="E31" t="s" s="5">
        <v>400</v>
      </c>
      <c r="F31" t="s" s="14">
        <v>38</v>
      </c>
      <c r="G31" t="s" s="5">
        <v>401</v>
      </c>
    </row>
    <row r="32" ht="20.0" customHeight="true">
      <c r="A32" t="s" s="4">
        <v>402</v>
      </c>
      <c r="B32" s="4"/>
      <c r="C32" s="4"/>
      <c r="D32" s="4"/>
      <c r="E32" s="4"/>
      <c r="F32" s="4"/>
      <c r="G32" s="4"/>
    </row>
    <row r="33">
      <c r="A33" t="s" s="5">
        <v>21</v>
      </c>
      <c r="B33" t="s" s="5">
        <v>403</v>
      </c>
      <c r="C33" t="s" s="5">
        <v>87</v>
      </c>
      <c r="D33" t="s" s="5">
        <v>331</v>
      </c>
      <c r="E33" t="s" s="5">
        <v>404</v>
      </c>
      <c r="F33" t="s" s="16">
        <v>34</v>
      </c>
      <c r="G33" t="s" s="5">
        <v>405</v>
      </c>
    </row>
    <row r="34">
      <c r="A34" t="s" s="5">
        <v>21</v>
      </c>
      <c r="B34" t="s" s="5">
        <v>406</v>
      </c>
      <c r="C34" t="s" s="5">
        <v>87</v>
      </c>
      <c r="D34" t="s" s="5">
        <v>331</v>
      </c>
      <c r="E34" t="s" s="5">
        <v>407</v>
      </c>
      <c r="F34" t="s" s="16">
        <v>34</v>
      </c>
      <c r="G34" t="s" s="5">
        <v>408</v>
      </c>
    </row>
    <row r="35">
      <c r="A35" t="s" s="5">
        <v>21</v>
      </c>
      <c r="B35" t="s" s="5">
        <v>409</v>
      </c>
      <c r="C35" t="s" s="5">
        <v>87</v>
      </c>
      <c r="D35" t="s" s="5">
        <v>331</v>
      </c>
      <c r="E35" t="s" s="5">
        <v>410</v>
      </c>
      <c r="F35" t="s" s="16">
        <v>34</v>
      </c>
      <c r="G35" t="s" s="5">
        <v>411</v>
      </c>
    </row>
    <row r="36">
      <c r="A36" t="s" s="5">
        <v>21</v>
      </c>
      <c r="B36" t="s" s="5">
        <v>412</v>
      </c>
      <c r="C36" t="s" s="5">
        <v>87</v>
      </c>
      <c r="D36" t="s" s="5">
        <v>331</v>
      </c>
      <c r="E36" t="s" s="5">
        <v>413</v>
      </c>
      <c r="F36" t="s" s="16">
        <v>34</v>
      </c>
      <c r="G36" t="s" s="5">
        <v>414</v>
      </c>
    </row>
    <row r="37">
      <c r="A37" t="s" s="5">
        <v>21</v>
      </c>
      <c r="B37" t="s" s="5">
        <v>415</v>
      </c>
      <c r="C37" t="s" s="5">
        <v>87</v>
      </c>
      <c r="D37" t="s" s="5">
        <v>331</v>
      </c>
      <c r="E37" t="s" s="5">
        <v>416</v>
      </c>
      <c r="F37" t="s" s="16">
        <v>34</v>
      </c>
      <c r="G37" t="s" s="5">
        <v>417</v>
      </c>
    </row>
    <row r="38">
      <c r="A38" t="s" s="5">
        <v>21</v>
      </c>
      <c r="B38" t="s" s="5">
        <v>418</v>
      </c>
      <c r="C38" t="s" s="5">
        <v>87</v>
      </c>
      <c r="D38" t="s" s="5">
        <v>331</v>
      </c>
      <c r="E38" t="s" s="5">
        <v>419</v>
      </c>
      <c r="F38" t="s" s="16">
        <v>34</v>
      </c>
      <c r="G38" t="s" s="5">
        <v>420</v>
      </c>
    </row>
    <row r="39">
      <c r="A39" t="s" s="5">
        <v>21</v>
      </c>
      <c r="B39" t="s" s="5">
        <v>421</v>
      </c>
      <c r="C39" t="s" s="5">
        <v>87</v>
      </c>
      <c r="D39" t="s" s="5">
        <v>331</v>
      </c>
      <c r="E39" t="s" s="5">
        <v>422</v>
      </c>
      <c r="F39" t="s" s="16">
        <v>34</v>
      </c>
      <c r="G39" t="s" s="5">
        <v>423</v>
      </c>
    </row>
    <row r="40">
      <c r="A40" t="s" s="5">
        <v>21</v>
      </c>
      <c r="B40" t="s" s="5">
        <v>424</v>
      </c>
      <c r="C40" t="s" s="5">
        <v>87</v>
      </c>
      <c r="D40" t="s" s="5">
        <v>331</v>
      </c>
      <c r="E40" t="s" s="5">
        <v>425</v>
      </c>
      <c r="F40" t="s" s="16">
        <v>34</v>
      </c>
      <c r="G40" t="s" s="5">
        <v>426</v>
      </c>
    </row>
    <row r="41">
      <c r="A41" t="s" s="5">
        <v>21</v>
      </c>
      <c r="B41" t="s" s="5">
        <v>427</v>
      </c>
      <c r="C41" t="s" s="5">
        <v>87</v>
      </c>
      <c r="D41" t="s" s="5">
        <v>331</v>
      </c>
      <c r="E41" t="s" s="5">
        <v>428</v>
      </c>
      <c r="F41" t="s" s="16">
        <v>34</v>
      </c>
      <c r="G41" t="s" s="5">
        <v>429</v>
      </c>
    </row>
    <row r="42">
      <c r="A42" t="s" s="5">
        <v>21</v>
      </c>
      <c r="B42" t="s" s="5">
        <v>430</v>
      </c>
      <c r="C42" t="s" s="5">
        <v>87</v>
      </c>
      <c r="D42" t="s" s="5">
        <v>331</v>
      </c>
      <c r="E42" t="s" s="5">
        <v>431</v>
      </c>
      <c r="F42" t="s" s="16">
        <v>34</v>
      </c>
      <c r="G42" t="s" s="5">
        <v>432</v>
      </c>
    </row>
  </sheetData>
  <autoFilter ref="A4:G42"/>
  <mergeCells count="6">
    <mergeCell ref="A1:G1"/>
    <mergeCell ref="A2:G2"/>
    <mergeCell ref="A5:G5"/>
    <mergeCell ref="A24:G24"/>
    <mergeCell ref="A26:G26"/>
    <mergeCell ref="A32:G32"/>
  </mergeCells>
  <pageMargins bottom="0.75" footer="0.3" header="0.3" left="0.7" right="0.7" top="0.75"/>
</worksheet>
</file>

<file path=xl/worksheets/sheet5.xml><?xml version="1.0" encoding="utf-8"?>
<worksheet xmlns="http://schemas.openxmlformats.org/spreadsheetml/2006/main">
  <dimension ref="A1:G55"/>
  <sheetViews>
    <sheetView workbookViewId="0" showGridLines="false">
      <pane ySplit="4.0" state="frozen" topLeftCell="A5" activePane="bottomLeft"/>
      <selection pane="bottomLeft"/>
    </sheetView>
  </sheetViews>
  <sheetFormatPr defaultRowHeight="15.0"/>
  <cols>
    <col min="1" max="1" width="30.0" customWidth="true"/>
    <col min="2" max="2" width="40.0" customWidth="true"/>
    <col min="3" max="3" width="32.0" customWidth="true"/>
    <col min="4" max="4" width="38.0" customWidth="true"/>
    <col min="5" max="5" width="62.0" customWidth="true"/>
    <col min="6" max="6" width="18.0" customWidth="true"/>
    <col min="7" max="7" width="78.0" customWidth="true"/>
  </cols>
  <sheetData>
    <row r="1" ht="20.0" customHeight="true">
      <c r="A1" t="s" s="1">
        <v>433</v>
      </c>
    </row>
    <row r="2">
      <c r="A2" t="s" s="2">
        <v>434</v>
      </c>
    </row>
    <row r="4" ht="32.0" customHeight="true">
      <c r="A4" t="s" s="3">
        <v>61</v>
      </c>
      <c r="B4" t="s" s="3">
        <v>62</v>
      </c>
      <c r="C4" t="s" s="3">
        <v>63</v>
      </c>
      <c r="D4" t="s" s="3">
        <v>64</v>
      </c>
      <c r="E4" t="s" s="3">
        <v>65</v>
      </c>
      <c r="F4" t="s" s="3">
        <v>66</v>
      </c>
      <c r="G4" t="s" s="3">
        <v>67</v>
      </c>
    </row>
    <row r="5" ht="20.0" customHeight="true">
      <c r="A5" t="s" s="4">
        <v>435</v>
      </c>
      <c r="B5" s="4"/>
      <c r="C5" s="4"/>
      <c r="D5" s="4"/>
      <c r="E5" s="4"/>
      <c r="F5" s="4"/>
      <c r="G5" s="4"/>
    </row>
    <row r="6" ht="20.0" customHeight="true">
      <c r="A6" t="s" s="4">
        <v>436</v>
      </c>
      <c r="B6" s="4"/>
      <c r="C6" s="4"/>
      <c r="D6" s="4"/>
      <c r="E6" s="4"/>
      <c r="F6" s="4"/>
      <c r="G6" s="4"/>
    </row>
    <row r="7" ht="20.0" customHeight="true">
      <c r="A7" t="s" s="4">
        <v>437</v>
      </c>
      <c r="B7" s="4"/>
      <c r="C7" s="4"/>
      <c r="D7" s="4"/>
      <c r="E7" s="4"/>
      <c r="F7" s="4"/>
      <c r="G7" s="4"/>
    </row>
    <row r="8">
      <c r="A8" t="s" s="5">
        <v>438</v>
      </c>
      <c r="B8" t="s" s="5">
        <v>439</v>
      </c>
      <c r="C8" t="s" s="5">
        <v>440</v>
      </c>
      <c r="D8" t="s" s="5">
        <v>441</v>
      </c>
      <c r="E8" t="s" s="5">
        <v>442</v>
      </c>
      <c r="F8" t="s" s="16">
        <v>34</v>
      </c>
      <c r="G8" t="s" s="5">
        <v>443</v>
      </c>
    </row>
    <row r="9">
      <c r="A9" t="s" s="5">
        <v>438</v>
      </c>
      <c r="B9" t="s" s="5">
        <v>444</v>
      </c>
      <c r="C9" t="s" s="5">
        <v>445</v>
      </c>
      <c r="D9" t="s" s="5">
        <v>446</v>
      </c>
      <c r="E9" t="s" s="5">
        <v>447</v>
      </c>
      <c r="F9" t="s" s="16">
        <v>34</v>
      </c>
      <c r="G9" t="s" s="5">
        <v>448</v>
      </c>
    </row>
    <row r="10">
      <c r="A10" t="s" s="5">
        <v>438</v>
      </c>
      <c r="B10" t="s" s="5">
        <v>449</v>
      </c>
      <c r="C10" t="s" s="5">
        <v>450</v>
      </c>
      <c r="D10" t="s" s="5">
        <v>451</v>
      </c>
      <c r="E10" t="s" s="5">
        <v>452</v>
      </c>
      <c r="F10" t="s" s="16">
        <v>34</v>
      </c>
      <c r="G10" t="s" s="5">
        <v>453</v>
      </c>
    </row>
    <row r="11">
      <c r="A11" t="s" s="5">
        <v>438</v>
      </c>
      <c r="B11" t="s" s="5">
        <v>454</v>
      </c>
      <c r="C11" t="s" s="5">
        <v>455</v>
      </c>
      <c r="D11" t="s" s="5">
        <v>456</v>
      </c>
      <c r="E11" t="s" s="5">
        <v>457</v>
      </c>
      <c r="F11" t="s" s="16">
        <v>34</v>
      </c>
      <c r="G11" t="s" s="5">
        <v>458</v>
      </c>
    </row>
    <row r="12">
      <c r="A12" t="s" s="5">
        <v>438</v>
      </c>
      <c r="B12" t="s" s="5">
        <v>459</v>
      </c>
      <c r="C12" t="s" s="5">
        <v>440</v>
      </c>
      <c r="D12" t="s" s="5">
        <v>460</v>
      </c>
      <c r="E12" t="s" s="5">
        <v>461</v>
      </c>
      <c r="F12" t="s" s="16">
        <v>34</v>
      </c>
      <c r="G12" t="s" s="5">
        <v>462</v>
      </c>
    </row>
    <row r="13">
      <c r="A13" t="s" s="5">
        <v>438</v>
      </c>
      <c r="B13" t="s" s="5">
        <v>463</v>
      </c>
      <c r="C13" t="s" s="5">
        <v>440</v>
      </c>
      <c r="D13" t="s" s="5">
        <v>464</v>
      </c>
      <c r="E13" t="s" s="5">
        <v>465</v>
      </c>
      <c r="F13" t="s" s="16">
        <v>34</v>
      </c>
      <c r="G13" t="s" s="5">
        <v>466</v>
      </c>
    </row>
    <row r="14">
      <c r="A14" t="s" s="5">
        <v>438</v>
      </c>
      <c r="B14" t="s" s="5">
        <v>467</v>
      </c>
      <c r="C14" t="s" s="5">
        <v>440</v>
      </c>
      <c r="D14" t="s" s="5">
        <v>468</v>
      </c>
      <c r="E14" t="s" s="5">
        <v>137</v>
      </c>
      <c r="F14" t="s" s="16">
        <v>34</v>
      </c>
      <c r="G14" t="s" s="5">
        <v>469</v>
      </c>
    </row>
    <row r="15">
      <c r="A15" t="s" s="5">
        <v>438</v>
      </c>
      <c r="B15" t="s" s="5">
        <v>470</v>
      </c>
      <c r="C15" t="s" s="5">
        <v>471</v>
      </c>
      <c r="D15" t="s" s="5">
        <v>472</v>
      </c>
      <c r="E15" t="s" s="5">
        <v>473</v>
      </c>
      <c r="F15" t="s" s="16">
        <v>34</v>
      </c>
      <c r="G15" t="s" s="5">
        <v>474</v>
      </c>
    </row>
    <row r="16">
      <c r="A16" t="s" s="5">
        <v>438</v>
      </c>
      <c r="B16" t="s" s="5">
        <v>475</v>
      </c>
      <c r="C16" t="s" s="5">
        <v>476</v>
      </c>
      <c r="D16" t="s" s="5">
        <v>477</v>
      </c>
      <c r="E16" t="s" s="5">
        <v>137</v>
      </c>
      <c r="F16" t="s" s="16">
        <v>34</v>
      </c>
      <c r="G16" t="s" s="5">
        <v>137</v>
      </c>
    </row>
    <row r="17">
      <c r="A17" t="s" s="5">
        <v>438</v>
      </c>
      <c r="B17" t="s" s="5">
        <v>478</v>
      </c>
      <c r="C17" t="s" s="5">
        <v>440</v>
      </c>
      <c r="D17" t="s" s="5">
        <v>479</v>
      </c>
      <c r="E17" t="s" s="5">
        <v>137</v>
      </c>
      <c r="F17" t="s" s="16">
        <v>34</v>
      </c>
      <c r="G17" t="s" s="5">
        <v>137</v>
      </c>
    </row>
    <row r="18">
      <c r="A18" t="s" s="5">
        <v>438</v>
      </c>
      <c r="B18" t="s" s="5">
        <v>480</v>
      </c>
      <c r="C18" t="s" s="5">
        <v>481</v>
      </c>
      <c r="D18" t="s" s="5">
        <v>482</v>
      </c>
      <c r="E18" t="s" s="5">
        <v>483</v>
      </c>
      <c r="F18" t="s" s="16">
        <v>34</v>
      </c>
      <c r="G18" t="s" s="5">
        <v>137</v>
      </c>
    </row>
    <row r="19">
      <c r="A19" t="s" s="5">
        <v>438</v>
      </c>
      <c r="B19" t="s" s="5">
        <v>484</v>
      </c>
      <c r="C19" t="s" s="5">
        <v>440</v>
      </c>
      <c r="D19" t="s" s="5">
        <v>485</v>
      </c>
      <c r="E19" t="s" s="5">
        <v>486</v>
      </c>
      <c r="F19" t="s" s="14">
        <v>38</v>
      </c>
      <c r="G19" t="s" s="5">
        <v>487</v>
      </c>
    </row>
    <row r="20">
      <c r="A20" t="s" s="5">
        <v>438</v>
      </c>
      <c r="B20" t="s" s="5">
        <v>488</v>
      </c>
      <c r="C20" t="s" s="5">
        <v>489</v>
      </c>
      <c r="D20" t="s" s="5">
        <v>490</v>
      </c>
      <c r="E20" t="s" s="5">
        <v>491</v>
      </c>
      <c r="F20" t="s" s="14">
        <v>38</v>
      </c>
      <c r="G20" t="s" s="5">
        <v>492</v>
      </c>
    </row>
    <row r="21">
      <c r="A21" t="s" s="5">
        <v>438</v>
      </c>
      <c r="B21" t="s" s="5">
        <v>493</v>
      </c>
      <c r="C21" t="s" s="5">
        <v>494</v>
      </c>
      <c r="D21" t="s" s="5">
        <v>495</v>
      </c>
      <c r="E21" t="s" s="5">
        <v>496</v>
      </c>
      <c r="F21" t="s" s="12">
        <v>40</v>
      </c>
      <c r="G21" t="s" s="5">
        <v>497</v>
      </c>
    </row>
    <row r="22">
      <c r="A22" t="s" s="5">
        <v>438</v>
      </c>
      <c r="B22" t="s" s="5">
        <v>498</v>
      </c>
      <c r="C22" t="s" s="5">
        <v>440</v>
      </c>
      <c r="D22" t="s" s="5">
        <v>499</v>
      </c>
      <c r="E22" t="s" s="5">
        <v>500</v>
      </c>
      <c r="F22" t="s" s="12">
        <v>40</v>
      </c>
      <c r="G22" t="s" s="5">
        <v>501</v>
      </c>
    </row>
    <row r="23" ht="20.0" customHeight="true">
      <c r="A23" t="s" s="4">
        <v>502</v>
      </c>
      <c r="B23" s="4"/>
      <c r="C23" s="4"/>
      <c r="D23" s="4"/>
      <c r="E23" s="4"/>
      <c r="F23" s="4"/>
      <c r="G23" s="4"/>
    </row>
    <row r="24">
      <c r="A24" t="s" s="5">
        <v>503</v>
      </c>
      <c r="B24" t="s" s="5">
        <v>504</v>
      </c>
      <c r="C24" t="s" s="5">
        <v>505</v>
      </c>
      <c r="D24" t="s" s="5">
        <v>506</v>
      </c>
      <c r="E24" t="s" s="5">
        <v>507</v>
      </c>
      <c r="F24" t="s" s="14">
        <v>38</v>
      </c>
      <c r="G24" t="s" s="5">
        <v>508</v>
      </c>
    </row>
    <row r="25">
      <c r="A25" t="s" s="5">
        <v>503</v>
      </c>
      <c r="B25" t="s" s="5">
        <v>509</v>
      </c>
      <c r="C25" t="s" s="5">
        <v>510</v>
      </c>
      <c r="D25" t="s" s="5">
        <v>511</v>
      </c>
      <c r="E25" t="s" s="5">
        <v>512</v>
      </c>
      <c r="F25" t="s" s="14">
        <v>38</v>
      </c>
      <c r="G25" t="s" s="5">
        <v>513</v>
      </c>
    </row>
    <row r="26">
      <c r="A26" t="s" s="5">
        <v>503</v>
      </c>
      <c r="B26" t="s" s="5">
        <v>514</v>
      </c>
      <c r="C26" t="s" s="5">
        <v>505</v>
      </c>
      <c r="D26" t="s" s="5">
        <v>515</v>
      </c>
      <c r="E26" t="s" s="5">
        <v>516</v>
      </c>
      <c r="F26" t="s" s="14">
        <v>38</v>
      </c>
      <c r="G26" t="s" s="5">
        <v>517</v>
      </c>
    </row>
    <row r="27">
      <c r="A27" t="s" s="5">
        <v>503</v>
      </c>
      <c r="B27" t="s" s="5">
        <v>518</v>
      </c>
      <c r="C27" t="s" s="5">
        <v>519</v>
      </c>
      <c r="D27" t="s" s="5">
        <v>520</v>
      </c>
      <c r="E27" t="s" s="5">
        <v>521</v>
      </c>
      <c r="F27" t="s" s="14">
        <v>38</v>
      </c>
      <c r="G27" t="s" s="5">
        <v>522</v>
      </c>
    </row>
    <row r="28">
      <c r="A28" t="s" s="5">
        <v>503</v>
      </c>
      <c r="B28" t="s" s="5">
        <v>523</v>
      </c>
      <c r="C28" t="s" s="5">
        <v>524</v>
      </c>
      <c r="D28" t="s" s="5">
        <v>137</v>
      </c>
      <c r="E28" t="s" s="5">
        <v>525</v>
      </c>
      <c r="F28" t="s" s="14">
        <v>38</v>
      </c>
      <c r="G28" t="s" s="5">
        <v>526</v>
      </c>
    </row>
    <row r="29" ht="20.0" customHeight="true">
      <c r="A29" t="s" s="4">
        <v>527</v>
      </c>
      <c r="B29" s="4"/>
      <c r="C29" s="4"/>
      <c r="D29" s="4"/>
      <c r="E29" s="4"/>
      <c r="F29" s="4"/>
      <c r="G29" s="4"/>
    </row>
    <row r="30">
      <c r="A30" t="s" s="5">
        <v>528</v>
      </c>
      <c r="B30" t="s" s="5">
        <v>529</v>
      </c>
      <c r="C30" t="s" s="5">
        <v>530</v>
      </c>
      <c r="D30" t="s" s="5">
        <v>531</v>
      </c>
      <c r="E30" t="s" s="5">
        <v>532</v>
      </c>
      <c r="F30" t="s" s="16">
        <v>34</v>
      </c>
      <c r="G30" t="s" s="5">
        <v>533</v>
      </c>
    </row>
    <row r="31">
      <c r="A31" t="s" s="5">
        <v>528</v>
      </c>
      <c r="B31" t="s" s="5">
        <v>534</v>
      </c>
      <c r="C31" t="s" s="5">
        <v>519</v>
      </c>
      <c r="D31" t="s" s="5">
        <v>535</v>
      </c>
      <c r="E31" t="s" s="5">
        <v>536</v>
      </c>
      <c r="F31" t="s" s="16">
        <v>34</v>
      </c>
      <c r="G31" t="s" s="5">
        <v>537</v>
      </c>
    </row>
    <row r="32" ht="20.0" customHeight="true">
      <c r="A32" t="s" s="4">
        <v>538</v>
      </c>
      <c r="B32" s="4"/>
      <c r="C32" s="4"/>
      <c r="D32" s="4"/>
      <c r="E32" s="4"/>
      <c r="F32" s="4"/>
      <c r="G32" s="4"/>
    </row>
    <row r="33">
      <c r="A33" t="s" s="5">
        <v>539</v>
      </c>
      <c r="B33" t="s" s="5">
        <v>540</v>
      </c>
      <c r="C33" t="s" s="5">
        <v>530</v>
      </c>
      <c r="D33" t="s" s="5">
        <v>541</v>
      </c>
      <c r="E33" t="s" s="5">
        <v>542</v>
      </c>
      <c r="F33" t="s" s="12">
        <v>40</v>
      </c>
      <c r="G33" t="s" s="5">
        <v>543</v>
      </c>
    </row>
    <row r="34">
      <c r="A34" t="s" s="5">
        <v>539</v>
      </c>
      <c r="B34" t="s" s="5">
        <v>544</v>
      </c>
      <c r="C34" t="s" s="5">
        <v>530</v>
      </c>
      <c r="D34" t="s" s="5">
        <v>545</v>
      </c>
      <c r="E34" t="s" s="5">
        <v>137</v>
      </c>
      <c r="F34" t="s" s="12">
        <v>40</v>
      </c>
      <c r="G34" t="s" s="5">
        <v>546</v>
      </c>
    </row>
    <row r="35">
      <c r="A35" t="s" s="5">
        <v>539</v>
      </c>
      <c r="B35" t="s" s="5">
        <v>547</v>
      </c>
      <c r="C35" t="s" s="5">
        <v>530</v>
      </c>
      <c r="D35" t="s" s="5">
        <v>548</v>
      </c>
      <c r="E35" t="s" s="5">
        <v>137</v>
      </c>
      <c r="F35" t="s" s="12">
        <v>40</v>
      </c>
      <c r="G35" t="s" s="5">
        <v>549</v>
      </c>
    </row>
    <row r="36">
      <c r="A36" t="s" s="5">
        <v>539</v>
      </c>
      <c r="B36" t="s" s="5">
        <v>550</v>
      </c>
      <c r="C36" t="s" s="5">
        <v>551</v>
      </c>
      <c r="D36" t="s" s="5">
        <v>552</v>
      </c>
      <c r="E36" t="s" s="5">
        <v>553</v>
      </c>
      <c r="F36" t="s" s="12">
        <v>40</v>
      </c>
      <c r="G36" t="s" s="5">
        <v>554</v>
      </c>
    </row>
    <row r="37">
      <c r="A37" t="s" s="5">
        <v>539</v>
      </c>
      <c r="B37" t="s" s="5">
        <v>555</v>
      </c>
      <c r="C37" t="s" s="5">
        <v>440</v>
      </c>
      <c r="D37" t="s" s="5">
        <v>556</v>
      </c>
      <c r="E37" t="s" s="5">
        <v>557</v>
      </c>
      <c r="F37" t="s" s="12">
        <v>40</v>
      </c>
      <c r="G37" t="s" s="5">
        <v>558</v>
      </c>
    </row>
    <row r="38">
      <c r="A38" t="s" s="5">
        <v>539</v>
      </c>
      <c r="B38" t="s" s="5">
        <v>559</v>
      </c>
      <c r="C38" t="s" s="5">
        <v>519</v>
      </c>
      <c r="D38" t="s" s="5">
        <v>560</v>
      </c>
      <c r="E38" t="s" s="5">
        <v>561</v>
      </c>
      <c r="F38" t="s" s="12">
        <v>40</v>
      </c>
      <c r="G38" t="s" s="5">
        <v>562</v>
      </c>
    </row>
    <row r="39">
      <c r="A39" t="s" s="5">
        <v>539</v>
      </c>
      <c r="B39" t="s" s="5">
        <v>563</v>
      </c>
      <c r="C39" t="s" s="5">
        <v>519</v>
      </c>
      <c r="D39" t="s" s="5">
        <v>564</v>
      </c>
      <c r="E39" t="s" s="5">
        <v>565</v>
      </c>
      <c r="F39" t="s" s="14">
        <v>38</v>
      </c>
      <c r="G39" t="s" s="5">
        <v>566</v>
      </c>
    </row>
    <row r="40">
      <c r="A40" t="s" s="5">
        <v>539</v>
      </c>
      <c r="B40" t="s" s="5">
        <v>567</v>
      </c>
      <c r="C40" t="s" s="5">
        <v>81</v>
      </c>
      <c r="D40" t="s" s="5">
        <v>81</v>
      </c>
      <c r="E40" t="s" s="5">
        <v>568</v>
      </c>
      <c r="F40" t="s" s="12">
        <v>40</v>
      </c>
      <c r="G40" t="s" s="5">
        <v>569</v>
      </c>
    </row>
    <row r="41">
      <c r="A41" t="s" s="5">
        <v>539</v>
      </c>
      <c r="B41" t="s" s="5">
        <v>570</v>
      </c>
      <c r="C41" t="s" s="5">
        <v>81</v>
      </c>
      <c r="D41" t="s" s="5">
        <v>81</v>
      </c>
      <c r="E41" t="s" s="5">
        <v>571</v>
      </c>
      <c r="F41" t="s" s="12">
        <v>40</v>
      </c>
      <c r="G41" t="s" s="5">
        <v>572</v>
      </c>
    </row>
    <row r="42">
      <c r="A42" t="s" s="5">
        <v>539</v>
      </c>
      <c r="B42" t="s" s="5">
        <v>573</v>
      </c>
      <c r="C42" t="s" s="5">
        <v>81</v>
      </c>
      <c r="D42" t="s" s="5">
        <v>81</v>
      </c>
      <c r="E42" t="s" s="5">
        <v>137</v>
      </c>
      <c r="F42" t="s" s="12">
        <v>40</v>
      </c>
      <c r="G42" t="s" s="5">
        <v>574</v>
      </c>
    </row>
    <row r="43" ht="20.0" customHeight="true">
      <c r="A43" t="s" s="4">
        <v>575</v>
      </c>
      <c r="B43" s="4"/>
      <c r="C43" s="4"/>
      <c r="D43" s="4"/>
      <c r="E43" s="4"/>
      <c r="F43" s="4"/>
      <c r="G43" s="4"/>
    </row>
    <row r="44">
      <c r="A44" t="s" s="5">
        <v>576</v>
      </c>
      <c r="B44" t="s" s="5">
        <v>577</v>
      </c>
      <c r="C44" t="s" s="5">
        <v>440</v>
      </c>
      <c r="D44" t="s" s="5">
        <v>578</v>
      </c>
      <c r="E44" t="s" s="5">
        <v>137</v>
      </c>
      <c r="F44" t="s" s="12">
        <v>40</v>
      </c>
      <c r="G44" t="s" s="5">
        <v>579</v>
      </c>
    </row>
    <row r="45">
      <c r="A45" t="s" s="5">
        <v>576</v>
      </c>
      <c r="B45" t="s" s="5">
        <v>580</v>
      </c>
      <c r="C45" t="s" s="5">
        <v>440</v>
      </c>
      <c r="D45" t="s" s="5">
        <v>581</v>
      </c>
      <c r="E45" t="s" s="5">
        <v>137</v>
      </c>
      <c r="F45" t="s" s="12">
        <v>40</v>
      </c>
      <c r="G45" t="s" s="5">
        <v>582</v>
      </c>
    </row>
    <row r="46">
      <c r="A46" t="s" s="5">
        <v>576</v>
      </c>
      <c r="B46" t="s" s="5">
        <v>583</v>
      </c>
      <c r="C46" t="s" s="5">
        <v>440</v>
      </c>
      <c r="D46" t="s" s="5">
        <v>584</v>
      </c>
      <c r="E46" t="s" s="5">
        <v>137</v>
      </c>
      <c r="F46" t="s" s="12">
        <v>40</v>
      </c>
      <c r="G46" t="s" s="5">
        <v>585</v>
      </c>
    </row>
    <row r="47">
      <c r="A47" t="s" s="5">
        <v>576</v>
      </c>
      <c r="B47" t="s" s="5">
        <v>586</v>
      </c>
      <c r="C47" t="s" s="5">
        <v>440</v>
      </c>
      <c r="D47" t="s" s="5">
        <v>587</v>
      </c>
      <c r="E47" t="s" s="5">
        <v>588</v>
      </c>
      <c r="F47" t="s" s="14">
        <v>38</v>
      </c>
      <c r="G47" t="s" s="5">
        <v>589</v>
      </c>
    </row>
    <row r="48" ht="20.0" customHeight="true">
      <c r="A48" t="s" s="4">
        <v>590</v>
      </c>
      <c r="B48" s="4"/>
      <c r="C48" s="4"/>
      <c r="D48" s="4"/>
      <c r="E48" s="4"/>
      <c r="F48" s="4"/>
      <c r="G48" s="4"/>
    </row>
    <row r="49">
      <c r="A49" t="s" s="5">
        <v>591</v>
      </c>
      <c r="B49" t="s" s="5">
        <v>592</v>
      </c>
      <c r="C49" t="s" s="5">
        <v>593</v>
      </c>
      <c r="D49" t="s" s="5">
        <v>137</v>
      </c>
      <c r="E49" t="s" s="5">
        <v>137</v>
      </c>
      <c r="F49" t="s" s="16">
        <v>34</v>
      </c>
      <c r="G49" t="s" s="5">
        <v>594</v>
      </c>
    </row>
    <row r="50">
      <c r="A50" t="s" s="5">
        <v>591</v>
      </c>
      <c r="B50" t="s" s="5">
        <v>595</v>
      </c>
      <c r="C50" t="s" s="5">
        <v>505</v>
      </c>
      <c r="D50" t="s" s="5">
        <v>515</v>
      </c>
      <c r="E50" t="s" s="5">
        <v>137</v>
      </c>
      <c r="F50" t="s" s="14">
        <v>38</v>
      </c>
      <c r="G50" t="s" s="5">
        <v>596</v>
      </c>
    </row>
    <row r="51">
      <c r="A51" t="s" s="5">
        <v>591</v>
      </c>
      <c r="B51" t="s" s="5">
        <v>597</v>
      </c>
      <c r="C51" t="s" s="5">
        <v>598</v>
      </c>
      <c r="D51" t="s" s="5">
        <v>599</v>
      </c>
      <c r="E51" t="s" s="5">
        <v>600</v>
      </c>
      <c r="F51" t="s" s="16">
        <v>34</v>
      </c>
      <c r="G51" t="s" s="5">
        <v>601</v>
      </c>
    </row>
    <row r="52">
      <c r="A52" t="s" s="5">
        <v>591</v>
      </c>
      <c r="B52" t="s" s="5">
        <v>602</v>
      </c>
      <c r="C52" t="s" s="5">
        <v>81</v>
      </c>
      <c r="D52" t="s" s="5">
        <v>81</v>
      </c>
      <c r="E52" t="s" s="5">
        <v>137</v>
      </c>
      <c r="F52" t="s" s="12">
        <v>40</v>
      </c>
      <c r="G52" t="s" s="5">
        <v>603</v>
      </c>
    </row>
    <row r="53" ht="20.0" customHeight="true">
      <c r="A53" t="s" s="4">
        <v>604</v>
      </c>
      <c r="B53" s="4"/>
      <c r="C53" s="4"/>
      <c r="D53" s="4"/>
      <c r="E53" s="4"/>
      <c r="F53" s="4"/>
      <c r="G53" s="4"/>
    </row>
    <row r="54">
      <c r="A54" t="s" s="5">
        <v>605</v>
      </c>
      <c r="B54" t="s" s="5">
        <v>606</v>
      </c>
      <c r="C54" t="s" s="5">
        <v>607</v>
      </c>
      <c r="D54" t="s" s="5">
        <v>608</v>
      </c>
      <c r="E54" t="s" s="5">
        <v>609</v>
      </c>
      <c r="F54" t="s" s="12">
        <v>40</v>
      </c>
      <c r="G54" t="s" s="5">
        <v>610</v>
      </c>
    </row>
    <row r="55">
      <c r="A55" t="s" s="5">
        <v>605</v>
      </c>
      <c r="B55" t="s" s="5">
        <v>611</v>
      </c>
      <c r="C55" t="s" s="5">
        <v>612</v>
      </c>
      <c r="D55" t="s" s="5">
        <v>613</v>
      </c>
      <c r="E55" t="s" s="5">
        <v>614</v>
      </c>
      <c r="F55" t="s" s="12">
        <v>40</v>
      </c>
      <c r="G55" t="s" s="5">
        <v>615</v>
      </c>
    </row>
  </sheetData>
  <autoFilter ref="A4:G55"/>
  <mergeCells count="11">
    <mergeCell ref="A1:G1"/>
    <mergeCell ref="A2:G2"/>
    <mergeCell ref="A5:G5"/>
    <mergeCell ref="A6:G6"/>
    <mergeCell ref="A7:G7"/>
    <mergeCell ref="A23:G23"/>
    <mergeCell ref="A29:G29"/>
    <mergeCell ref="A32:G32"/>
    <mergeCell ref="A43:G43"/>
    <mergeCell ref="A48:G48"/>
    <mergeCell ref="A53:G53"/>
  </mergeCells>
  <pageMargins bottom="0.75" footer="0.3" header="0.3" left="0.7" right="0.7" top="0.75"/>
</worksheet>
</file>

<file path=xl/worksheets/sheet6.xml><?xml version="1.0" encoding="utf-8"?>
<worksheet xmlns="http://schemas.openxmlformats.org/spreadsheetml/2006/main">
  <dimension ref="A1:F31"/>
  <sheetViews>
    <sheetView workbookViewId="0" showGridLines="false">
      <pane ySplit="4.0" state="frozen" topLeftCell="A5" activePane="bottomLeft"/>
      <selection pane="bottomLeft"/>
    </sheetView>
  </sheetViews>
  <sheetFormatPr defaultRowHeight="15.0"/>
  <cols>
    <col min="1" max="1" width="26.0" customWidth="true"/>
    <col min="2" max="2" width="32.0" customWidth="true"/>
    <col min="3" max="3" width="60.0" customWidth="true"/>
    <col min="4" max="4" width="52.0" customWidth="true"/>
    <col min="5" max="5" width="18.0" customWidth="true"/>
    <col min="6" max="6" width="62.0" customWidth="true"/>
  </cols>
  <sheetData>
    <row r="1" ht="20.0" customHeight="true">
      <c r="A1" t="s" s="1">
        <v>25</v>
      </c>
    </row>
    <row r="2">
      <c r="A2" t="s" s="2">
        <v>616</v>
      </c>
    </row>
    <row r="4" ht="32.0" customHeight="true">
      <c r="A4" t="s" s="3">
        <v>61</v>
      </c>
      <c r="B4" t="s" s="3">
        <v>617</v>
      </c>
      <c r="C4" t="s" s="3">
        <v>618</v>
      </c>
      <c r="D4" t="s" s="3">
        <v>619</v>
      </c>
      <c r="E4" t="s" s="3">
        <v>66</v>
      </c>
      <c r="F4" t="s" s="3">
        <v>67</v>
      </c>
    </row>
    <row r="5">
      <c r="A5" t="s" s="5">
        <v>620</v>
      </c>
      <c r="B5" t="s" s="5">
        <v>621</v>
      </c>
      <c r="C5" t="s" s="5">
        <v>622</v>
      </c>
      <c r="D5" t="s" s="5">
        <v>623</v>
      </c>
      <c r="E5" t="s" s="16">
        <v>34</v>
      </c>
      <c r="F5" t="s" s="5">
        <v>624</v>
      </c>
    </row>
    <row r="6">
      <c r="A6" t="s" s="5">
        <v>620</v>
      </c>
      <c r="B6" t="s" s="5">
        <v>625</v>
      </c>
      <c r="C6" t="s" s="5">
        <v>626</v>
      </c>
      <c r="D6" t="s" s="5">
        <v>627</v>
      </c>
      <c r="E6" t="s" s="16">
        <v>34</v>
      </c>
      <c r="F6" t="s" s="5">
        <v>628</v>
      </c>
    </row>
    <row r="7">
      <c r="A7" t="s" s="5">
        <v>620</v>
      </c>
      <c r="B7" t="s" s="5">
        <v>629</v>
      </c>
      <c r="C7" t="s" s="5">
        <v>630</v>
      </c>
      <c r="D7" t="s" s="5">
        <v>631</v>
      </c>
      <c r="E7" t="s" s="16">
        <v>34</v>
      </c>
      <c r="F7" t="s" s="5">
        <v>632</v>
      </c>
    </row>
    <row r="8">
      <c r="A8" t="s" s="5">
        <v>620</v>
      </c>
      <c r="B8" t="s" s="5">
        <v>633</v>
      </c>
      <c r="C8" t="s" s="5">
        <v>634</v>
      </c>
      <c r="D8" t="s" s="5">
        <v>635</v>
      </c>
      <c r="E8" t="s" s="16">
        <v>34</v>
      </c>
      <c r="F8" t="s" s="5">
        <v>636</v>
      </c>
    </row>
    <row r="9">
      <c r="A9" t="s" s="5">
        <v>637</v>
      </c>
      <c r="B9" t="s" s="5">
        <v>638</v>
      </c>
      <c r="C9" t="s" s="5">
        <v>639</v>
      </c>
      <c r="D9" t="s" s="5">
        <v>640</v>
      </c>
      <c r="E9" t="s" s="16">
        <v>34</v>
      </c>
      <c r="F9" t="s" s="5">
        <v>641</v>
      </c>
    </row>
    <row r="10">
      <c r="A10" t="s" s="5">
        <v>637</v>
      </c>
      <c r="B10" t="s" s="5">
        <v>642</v>
      </c>
      <c r="C10" t="s" s="5">
        <v>643</v>
      </c>
      <c r="D10" t="s" s="5">
        <v>644</v>
      </c>
      <c r="E10" t="s" s="16">
        <v>34</v>
      </c>
      <c r="F10" t="s" s="5">
        <v>645</v>
      </c>
    </row>
    <row r="11">
      <c r="A11" t="s" s="5">
        <v>646</v>
      </c>
      <c r="B11" t="s" s="5">
        <v>647</v>
      </c>
      <c r="C11" t="s" s="5">
        <v>648</v>
      </c>
      <c r="D11" t="s" s="5">
        <v>649</v>
      </c>
      <c r="E11" t="s" s="18">
        <v>36</v>
      </c>
      <c r="F11" t="s" s="5">
        <v>650</v>
      </c>
    </row>
    <row r="12">
      <c r="A12" t="s" s="5">
        <v>646</v>
      </c>
      <c r="B12" t="s" s="5">
        <v>651</v>
      </c>
      <c r="C12" t="s" s="5">
        <v>652</v>
      </c>
      <c r="D12" t="s" s="5">
        <v>653</v>
      </c>
      <c r="E12" t="s" s="18">
        <v>36</v>
      </c>
      <c r="F12" t="s" s="5">
        <v>654</v>
      </c>
    </row>
    <row r="13">
      <c r="A13" t="s" s="5">
        <v>655</v>
      </c>
      <c r="B13" t="s" s="5">
        <v>656</v>
      </c>
      <c r="C13" t="s" s="5">
        <v>657</v>
      </c>
      <c r="D13" t="s" s="5">
        <v>658</v>
      </c>
      <c r="E13" t="s" s="12">
        <v>40</v>
      </c>
      <c r="F13" t="s" s="5">
        <v>659</v>
      </c>
    </row>
    <row r="14">
      <c r="A14" t="s" s="5">
        <v>660</v>
      </c>
      <c r="B14" t="s" s="5">
        <v>661</v>
      </c>
      <c r="C14" t="s" s="5">
        <v>662</v>
      </c>
      <c r="D14" t="s" s="5">
        <v>663</v>
      </c>
      <c r="E14" t="s" s="16">
        <v>34</v>
      </c>
      <c r="F14" t="s" s="5">
        <v>664</v>
      </c>
    </row>
    <row r="15">
      <c r="A15" t="s" s="5">
        <v>660</v>
      </c>
      <c r="B15" t="s" s="5">
        <v>665</v>
      </c>
      <c r="C15" t="s" s="5">
        <v>666</v>
      </c>
      <c r="D15" t="s" s="5">
        <v>623</v>
      </c>
      <c r="E15" t="s" s="16">
        <v>34</v>
      </c>
      <c r="F15" t="s" s="5">
        <v>667</v>
      </c>
    </row>
    <row r="16">
      <c r="A16" t="s" s="5">
        <v>668</v>
      </c>
      <c r="B16" t="s" s="5">
        <v>669</v>
      </c>
      <c r="C16" t="s" s="5">
        <v>670</v>
      </c>
      <c r="D16" t="s" s="5">
        <v>671</v>
      </c>
      <c r="E16" t="s" s="12">
        <v>40</v>
      </c>
      <c r="F16" t="s" s="5">
        <v>672</v>
      </c>
    </row>
    <row r="17">
      <c r="A17" t="s" s="5">
        <v>668</v>
      </c>
      <c r="B17" t="s" s="5">
        <v>673</v>
      </c>
      <c r="C17" t="s" s="5">
        <v>674</v>
      </c>
      <c r="D17" t="s" s="5">
        <v>658</v>
      </c>
      <c r="E17" t="s" s="12">
        <v>40</v>
      </c>
      <c r="F17" t="s" s="5">
        <v>675</v>
      </c>
    </row>
    <row r="18">
      <c r="A18" t="s" s="5">
        <v>676</v>
      </c>
      <c r="B18" t="s" s="5">
        <v>677</v>
      </c>
      <c r="C18" t="s" s="5">
        <v>678</v>
      </c>
      <c r="D18" t="s" s="5">
        <v>658</v>
      </c>
      <c r="E18" t="s" s="12">
        <v>40</v>
      </c>
      <c r="F18" t="s" s="5">
        <v>138</v>
      </c>
    </row>
    <row r="19">
      <c r="A19" t="s" s="5">
        <v>679</v>
      </c>
      <c r="B19" t="s" s="5">
        <v>680</v>
      </c>
      <c r="C19" t="s" s="5">
        <v>681</v>
      </c>
      <c r="D19" t="s" s="5">
        <v>658</v>
      </c>
      <c r="E19" t="s" s="12">
        <v>40</v>
      </c>
      <c r="F19" t="s" s="5">
        <v>212</v>
      </c>
    </row>
    <row r="20">
      <c r="A20" t="s" s="5">
        <v>682</v>
      </c>
      <c r="B20" t="s" s="5">
        <v>683</v>
      </c>
      <c r="C20" t="s" s="5">
        <v>684</v>
      </c>
      <c r="D20" t="s" s="5">
        <v>685</v>
      </c>
      <c r="E20" t="s" s="16">
        <v>34</v>
      </c>
      <c r="F20" t="s" s="5">
        <v>686</v>
      </c>
    </row>
    <row r="21">
      <c r="A21" t="s" s="5">
        <v>687</v>
      </c>
      <c r="B21" t="s" s="5">
        <v>688</v>
      </c>
      <c r="C21" t="s" s="5">
        <v>689</v>
      </c>
      <c r="D21" t="s" s="5">
        <v>690</v>
      </c>
      <c r="E21" t="s" s="12">
        <v>40</v>
      </c>
      <c r="F21" t="s" s="5">
        <v>691</v>
      </c>
    </row>
    <row r="22">
      <c r="A22" t="s" s="5">
        <v>692</v>
      </c>
      <c r="B22" t="s" s="5">
        <v>693</v>
      </c>
      <c r="C22" t="s" s="5">
        <v>694</v>
      </c>
      <c r="D22" t="s" s="5">
        <v>695</v>
      </c>
      <c r="E22" t="s" s="16">
        <v>34</v>
      </c>
      <c r="F22" t="s" s="5">
        <v>696</v>
      </c>
    </row>
    <row r="23">
      <c r="A23" t="s" s="5">
        <v>697</v>
      </c>
      <c r="B23" t="s" s="5">
        <v>698</v>
      </c>
      <c r="C23" t="s" s="5">
        <v>699</v>
      </c>
      <c r="D23" t="s" s="5">
        <v>700</v>
      </c>
      <c r="E23" t="s" s="16">
        <v>34</v>
      </c>
      <c r="F23" t="s" s="5">
        <v>701</v>
      </c>
    </row>
    <row r="24">
      <c r="A24" t="s" s="5">
        <v>702</v>
      </c>
      <c r="B24" t="s" s="5">
        <v>341</v>
      </c>
      <c r="C24" t="s" s="5">
        <v>703</v>
      </c>
      <c r="D24" t="s" s="5">
        <v>704</v>
      </c>
      <c r="E24" t="s" s="16">
        <v>34</v>
      </c>
      <c r="F24" t="s" s="5">
        <v>705</v>
      </c>
    </row>
    <row r="25">
      <c r="A25" t="s" s="5">
        <v>702</v>
      </c>
      <c r="B25" t="s" s="5">
        <v>706</v>
      </c>
      <c r="C25" t="s" s="5">
        <v>707</v>
      </c>
      <c r="D25" t="s" s="5">
        <v>708</v>
      </c>
      <c r="E25" t="s" s="16">
        <v>34</v>
      </c>
      <c r="F25" t="s" s="5">
        <v>137</v>
      </c>
    </row>
    <row r="26">
      <c r="A26" t="s" s="5">
        <v>709</v>
      </c>
      <c r="B26" t="s" s="5">
        <v>710</v>
      </c>
      <c r="C26" t="s" s="5">
        <v>711</v>
      </c>
      <c r="D26" t="s" s="5">
        <v>712</v>
      </c>
      <c r="E26" t="s" s="12">
        <v>40</v>
      </c>
      <c r="F26" t="s" s="5">
        <v>713</v>
      </c>
    </row>
    <row r="27">
      <c r="A27" t="s" s="5">
        <v>709</v>
      </c>
      <c r="B27" t="s" s="5">
        <v>714</v>
      </c>
      <c r="C27" t="s" s="5">
        <v>715</v>
      </c>
      <c r="D27" t="s" s="5">
        <v>716</v>
      </c>
      <c r="E27" t="s" s="16">
        <v>34</v>
      </c>
      <c r="F27" t="s" s="5">
        <v>137</v>
      </c>
    </row>
    <row r="28">
      <c r="A28" t="s" s="5">
        <v>709</v>
      </c>
      <c r="B28" t="s" s="5">
        <v>717</v>
      </c>
      <c r="C28" t="s" s="5">
        <v>718</v>
      </c>
      <c r="D28" t="s" s="5">
        <v>719</v>
      </c>
      <c r="E28" t="s" s="14">
        <v>38</v>
      </c>
      <c r="F28" t="s" s="5">
        <v>720</v>
      </c>
    </row>
    <row r="29">
      <c r="A29" t="s" s="5">
        <v>721</v>
      </c>
      <c r="B29" t="s" s="5">
        <v>722</v>
      </c>
      <c r="C29" t="s" s="5">
        <v>723</v>
      </c>
      <c r="D29" t="s" s="5">
        <v>724</v>
      </c>
      <c r="E29" t="s" s="18">
        <v>36</v>
      </c>
      <c r="F29" t="s" s="5">
        <v>725</v>
      </c>
    </row>
    <row r="30">
      <c r="A30" t="s" s="5">
        <v>721</v>
      </c>
      <c r="B30" t="s" s="5">
        <v>726</v>
      </c>
      <c r="C30" t="s" s="5">
        <v>727</v>
      </c>
      <c r="D30" t="s" s="5">
        <v>728</v>
      </c>
      <c r="E30" t="s" s="16">
        <v>34</v>
      </c>
      <c r="F30" t="s" s="5">
        <v>729</v>
      </c>
    </row>
    <row r="31">
      <c r="A31" t="s" s="5">
        <v>721</v>
      </c>
      <c r="B31" t="s" s="5">
        <v>730</v>
      </c>
      <c r="C31" t="s" s="5">
        <v>731</v>
      </c>
      <c r="D31" t="s" s="5">
        <v>732</v>
      </c>
      <c r="E31" t="s" s="18">
        <v>36</v>
      </c>
      <c r="F31" t="s" s="5">
        <v>733</v>
      </c>
    </row>
  </sheetData>
  <autoFilter ref="A4:F31"/>
  <mergeCells count="2">
    <mergeCell ref="A1:F1"/>
    <mergeCell ref="A2:F2"/>
  </mergeCells>
  <pageMargins bottom="0.75" footer="0.3" header="0.3" left="0.7" right="0.7" top="0.75"/>
</worksheet>
</file>

<file path=xl/worksheets/sheet7.xml><?xml version="1.0" encoding="utf-8"?>
<worksheet xmlns="http://schemas.openxmlformats.org/spreadsheetml/2006/main">
  <dimension ref="A1:G30"/>
  <sheetViews>
    <sheetView workbookViewId="0" showGridLines="false">
      <pane ySplit="4.0" state="frozen" topLeftCell="A5" activePane="bottomLeft"/>
      <selection pane="bottomLeft"/>
    </sheetView>
  </sheetViews>
  <sheetFormatPr defaultRowHeight="15.0"/>
  <cols>
    <col min="1" max="1" width="9.0" customWidth="true"/>
    <col min="2" max="2" width="13.0" customWidth="true"/>
    <col min="3" max="3" width="34.0" customWidth="true"/>
    <col min="4" max="4" width="34.0" customWidth="true"/>
    <col min="5" max="5" width="62.0" customWidth="true"/>
    <col min="6" max="6" width="12.0" customWidth="true"/>
    <col min="7" max="7" width="44.0" customWidth="true"/>
  </cols>
  <sheetData>
    <row r="1" ht="20.0" customHeight="true">
      <c r="A1" t="s" s="1">
        <v>27</v>
      </c>
    </row>
    <row r="2">
      <c r="A2" t="s" s="2">
        <v>734</v>
      </c>
    </row>
    <row r="4" ht="32.0" customHeight="true">
      <c r="A4" t="s" s="3">
        <v>735</v>
      </c>
      <c r="B4" t="s" s="3">
        <v>736</v>
      </c>
      <c r="C4" t="s" s="3">
        <v>737</v>
      </c>
      <c r="D4" t="s" s="3">
        <v>738</v>
      </c>
      <c r="E4" t="s" s="3">
        <v>739</v>
      </c>
      <c r="F4" t="s" s="3">
        <v>740</v>
      </c>
      <c r="G4" t="s" s="3">
        <v>741</v>
      </c>
    </row>
    <row r="5" ht="20.0" customHeight="true">
      <c r="A5" t="s" s="4">
        <v>742</v>
      </c>
      <c r="B5" s="4"/>
      <c r="C5" s="4"/>
      <c r="D5" s="4"/>
      <c r="E5" s="4"/>
      <c r="F5" s="4"/>
      <c r="G5" s="4"/>
    </row>
    <row r="6">
      <c r="A6" t="s" s="5">
        <v>743</v>
      </c>
      <c r="B6" t="s" s="5">
        <v>744</v>
      </c>
      <c r="C6" t="s" s="5">
        <v>745</v>
      </c>
      <c r="D6" t="s" s="5">
        <v>746</v>
      </c>
      <c r="E6" t="s" s="5">
        <v>747</v>
      </c>
      <c r="F6" t="s" s="12">
        <v>40</v>
      </c>
      <c r="G6" t="s" s="5">
        <v>748</v>
      </c>
    </row>
    <row r="7">
      <c r="A7" t="s" s="5">
        <v>749</v>
      </c>
      <c r="B7" t="s" s="5">
        <v>744</v>
      </c>
      <c r="C7" t="s" s="5">
        <v>750</v>
      </c>
      <c r="D7" t="s" s="5">
        <v>751</v>
      </c>
      <c r="E7" t="s" s="5">
        <v>752</v>
      </c>
      <c r="F7" t="s" s="12">
        <v>40</v>
      </c>
      <c r="G7" t="s" s="5">
        <v>753</v>
      </c>
    </row>
    <row r="8">
      <c r="A8" t="s" s="5">
        <v>754</v>
      </c>
      <c r="B8" t="s" s="5">
        <v>744</v>
      </c>
      <c r="C8" t="s" s="5">
        <v>755</v>
      </c>
      <c r="D8" t="s" s="5">
        <v>756</v>
      </c>
      <c r="E8" t="s" s="5">
        <v>757</v>
      </c>
      <c r="F8" t="s" s="12">
        <v>40</v>
      </c>
      <c r="G8" t="s" s="5">
        <v>758</v>
      </c>
    </row>
    <row r="9">
      <c r="A9" t="s" s="5">
        <v>759</v>
      </c>
      <c r="B9" t="s" s="5">
        <v>744</v>
      </c>
      <c r="C9" t="s" s="5">
        <v>760</v>
      </c>
      <c r="D9" t="s" s="5">
        <v>761</v>
      </c>
      <c r="E9" t="s" s="5">
        <v>762</v>
      </c>
      <c r="F9" t="s" s="12">
        <v>40</v>
      </c>
      <c r="G9" t="s" s="5">
        <v>763</v>
      </c>
    </row>
    <row r="10">
      <c r="A10" t="s" s="5">
        <v>764</v>
      </c>
      <c r="B10" t="s" s="5">
        <v>744</v>
      </c>
      <c r="C10" t="s" s="5">
        <v>765</v>
      </c>
      <c r="D10" t="s" s="5">
        <v>766</v>
      </c>
      <c r="E10" t="s" s="5">
        <v>767</v>
      </c>
      <c r="F10" t="s" s="12">
        <v>40</v>
      </c>
      <c r="G10" t="s" s="5">
        <v>768</v>
      </c>
    </row>
    <row r="11" ht="20.0" customHeight="true">
      <c r="A11" t="s" s="4">
        <v>769</v>
      </c>
      <c r="B11" s="4"/>
      <c r="C11" s="4"/>
      <c r="D11" s="4"/>
      <c r="E11" s="4"/>
      <c r="F11" s="4"/>
      <c r="G11" s="4"/>
    </row>
    <row r="12">
      <c r="A12" t="s" s="5">
        <v>770</v>
      </c>
      <c r="B12" t="s" s="5">
        <v>771</v>
      </c>
      <c r="C12" t="s" s="5">
        <v>772</v>
      </c>
      <c r="D12" t="s" s="5">
        <v>773</v>
      </c>
      <c r="E12" t="s" s="5">
        <v>774</v>
      </c>
      <c r="F12" t="s" s="5">
        <v>775</v>
      </c>
      <c r="G12" t="s" s="5">
        <v>776</v>
      </c>
    </row>
    <row r="13">
      <c r="A13" t="s" s="5">
        <v>777</v>
      </c>
      <c r="B13" t="s" s="5">
        <v>771</v>
      </c>
      <c r="C13" t="s" s="5">
        <v>778</v>
      </c>
      <c r="D13" t="s" s="5">
        <v>779</v>
      </c>
      <c r="E13" t="s" s="5">
        <v>780</v>
      </c>
      <c r="F13" t="s" s="12">
        <v>40</v>
      </c>
      <c r="G13" t="s" s="5">
        <v>781</v>
      </c>
    </row>
    <row r="14">
      <c r="A14" t="s" s="5">
        <v>782</v>
      </c>
      <c r="B14" t="s" s="5">
        <v>783</v>
      </c>
      <c r="C14" t="s" s="5">
        <v>784</v>
      </c>
      <c r="D14" t="s" s="5">
        <v>785</v>
      </c>
      <c r="E14" t="s" s="5">
        <v>786</v>
      </c>
      <c r="F14" t="s" s="12">
        <v>40</v>
      </c>
      <c r="G14" t="s" s="5">
        <v>787</v>
      </c>
    </row>
    <row r="15">
      <c r="A15" t="s" s="5">
        <v>788</v>
      </c>
      <c r="B15" t="s" s="5">
        <v>783</v>
      </c>
      <c r="C15" t="s" s="5">
        <v>789</v>
      </c>
      <c r="D15" t="s" s="5">
        <v>790</v>
      </c>
      <c r="E15" t="s" s="5">
        <v>791</v>
      </c>
      <c r="F15" t="s" s="5">
        <v>792</v>
      </c>
      <c r="G15" t="s" s="5">
        <v>793</v>
      </c>
    </row>
    <row r="16">
      <c r="A16" t="s" s="5">
        <v>794</v>
      </c>
      <c r="B16" t="s" s="5">
        <v>783</v>
      </c>
      <c r="C16" t="s" s="5">
        <v>795</v>
      </c>
      <c r="D16" t="s" s="5">
        <v>796</v>
      </c>
      <c r="E16" t="s" s="5">
        <v>797</v>
      </c>
      <c r="F16" t="s" s="12">
        <v>40</v>
      </c>
      <c r="G16" t="s" s="5">
        <v>798</v>
      </c>
    </row>
    <row r="17">
      <c r="A17" t="s" s="5">
        <v>799</v>
      </c>
      <c r="B17" t="s" s="5">
        <v>783</v>
      </c>
      <c r="C17" t="s" s="5">
        <v>373</v>
      </c>
      <c r="D17" t="s" s="5">
        <v>800</v>
      </c>
      <c r="E17" t="s" s="5">
        <v>801</v>
      </c>
      <c r="F17" t="s" s="12">
        <v>40</v>
      </c>
      <c r="G17" t="s" s="5">
        <v>802</v>
      </c>
    </row>
    <row r="18">
      <c r="A18" t="s" s="5">
        <v>803</v>
      </c>
      <c r="B18" t="s" s="5">
        <v>783</v>
      </c>
      <c r="C18" t="s" s="5">
        <v>804</v>
      </c>
      <c r="D18" t="s" s="5">
        <v>805</v>
      </c>
      <c r="E18" t="s" s="5">
        <v>806</v>
      </c>
      <c r="F18" t="s" s="12">
        <v>40</v>
      </c>
      <c r="G18" t="s" s="5">
        <v>807</v>
      </c>
    </row>
    <row r="19">
      <c r="A19" t="s" s="5">
        <v>808</v>
      </c>
      <c r="B19" t="s" s="5">
        <v>771</v>
      </c>
      <c r="C19" t="s" s="5">
        <v>809</v>
      </c>
      <c r="D19" t="s" s="5">
        <v>810</v>
      </c>
      <c r="E19" t="s" s="5">
        <v>811</v>
      </c>
      <c r="F19" t="s" s="12">
        <v>40</v>
      </c>
      <c r="G19" t="s" s="5">
        <v>812</v>
      </c>
    </row>
    <row r="20" ht="20.0" customHeight="true">
      <c r="A20" t="s" s="4">
        <v>813</v>
      </c>
      <c r="B20" s="4"/>
      <c r="C20" s="4"/>
      <c r="D20" s="4"/>
      <c r="E20" s="4"/>
      <c r="F20" s="4"/>
      <c r="G20" s="4"/>
    </row>
    <row r="21">
      <c r="A21" t="s" s="5">
        <v>814</v>
      </c>
      <c r="B21" t="s" s="5">
        <v>744</v>
      </c>
      <c r="C21" t="s" s="5">
        <v>815</v>
      </c>
      <c r="D21" t="s" s="5">
        <v>816</v>
      </c>
      <c r="E21" t="s" s="5">
        <v>817</v>
      </c>
      <c r="F21" t="s" s="20">
        <v>42</v>
      </c>
      <c r="G21" t="s" s="5">
        <v>818</v>
      </c>
    </row>
    <row r="22">
      <c r="A22" t="s" s="5">
        <v>819</v>
      </c>
      <c r="B22" t="s" s="5">
        <v>744</v>
      </c>
      <c r="C22" t="s" s="5">
        <v>820</v>
      </c>
      <c r="D22" t="s" s="5">
        <v>821</v>
      </c>
      <c r="E22" t="s" s="5">
        <v>822</v>
      </c>
      <c r="F22" t="s" s="20">
        <v>42</v>
      </c>
      <c r="G22" t="s" s="5">
        <v>823</v>
      </c>
    </row>
    <row r="23">
      <c r="A23" t="s" s="5">
        <v>824</v>
      </c>
      <c r="B23" t="s" s="5">
        <v>771</v>
      </c>
      <c r="C23" t="s" s="5">
        <v>825</v>
      </c>
      <c r="D23" t="s" s="5">
        <v>826</v>
      </c>
      <c r="E23" t="s" s="5">
        <v>827</v>
      </c>
      <c r="F23" t="s" s="20">
        <v>42</v>
      </c>
      <c r="G23" t="s" s="5">
        <v>828</v>
      </c>
    </row>
    <row r="24">
      <c r="A24" t="s" s="5">
        <v>829</v>
      </c>
      <c r="B24" t="s" s="5">
        <v>771</v>
      </c>
      <c r="C24" t="s" s="5">
        <v>830</v>
      </c>
      <c r="D24" t="s" s="5">
        <v>831</v>
      </c>
      <c r="E24" t="s" s="5">
        <v>832</v>
      </c>
      <c r="F24" t="s" s="20">
        <v>42</v>
      </c>
      <c r="G24" t="s" s="5">
        <v>833</v>
      </c>
    </row>
    <row r="25">
      <c r="A25" t="s" s="5">
        <v>834</v>
      </c>
      <c r="B25" t="s" s="5">
        <v>783</v>
      </c>
      <c r="C25" t="s" s="5">
        <v>835</v>
      </c>
      <c r="D25" t="s" s="5">
        <v>836</v>
      </c>
      <c r="E25" t="s" s="5">
        <v>837</v>
      </c>
      <c r="F25" t="s" s="20">
        <v>42</v>
      </c>
      <c r="G25" t="s" s="5">
        <v>838</v>
      </c>
    </row>
    <row r="26">
      <c r="A26" t="s" s="5">
        <v>839</v>
      </c>
      <c r="B26" t="s" s="5">
        <v>783</v>
      </c>
      <c r="C26" t="s" s="5">
        <v>840</v>
      </c>
      <c r="D26" t="s" s="5">
        <v>841</v>
      </c>
      <c r="E26" t="s" s="5">
        <v>842</v>
      </c>
      <c r="F26" t="s" s="20">
        <v>42</v>
      </c>
      <c r="G26" t="s" s="5">
        <v>843</v>
      </c>
    </row>
    <row r="27">
      <c r="A27" t="s" s="5">
        <v>844</v>
      </c>
      <c r="B27" t="s" s="5">
        <v>783</v>
      </c>
      <c r="C27" t="s" s="5">
        <v>845</v>
      </c>
      <c r="D27" t="s" s="5">
        <v>846</v>
      </c>
      <c r="E27" t="s" s="5">
        <v>847</v>
      </c>
      <c r="F27" t="s" s="20">
        <v>42</v>
      </c>
      <c r="G27" t="s" s="5">
        <v>848</v>
      </c>
    </row>
    <row r="28">
      <c r="A28" t="s" s="5">
        <v>849</v>
      </c>
      <c r="B28" t="s" s="5">
        <v>783</v>
      </c>
      <c r="C28" t="s" s="5">
        <v>850</v>
      </c>
      <c r="D28" t="s" s="5">
        <v>851</v>
      </c>
      <c r="E28" t="s" s="5">
        <v>852</v>
      </c>
      <c r="F28" t="s" s="20">
        <v>42</v>
      </c>
      <c r="G28" t="s" s="5">
        <v>853</v>
      </c>
    </row>
    <row r="29">
      <c r="A29" t="s" s="5">
        <v>854</v>
      </c>
      <c r="B29" t="s" s="5">
        <v>855</v>
      </c>
      <c r="C29" t="s" s="5">
        <v>856</v>
      </c>
      <c r="D29" t="s" s="5">
        <v>857</v>
      </c>
      <c r="E29" t="s" s="5">
        <v>858</v>
      </c>
      <c r="F29" t="s" s="20">
        <v>42</v>
      </c>
      <c r="G29" t="s" s="5">
        <v>859</v>
      </c>
    </row>
    <row r="30">
      <c r="A30" t="s" s="5">
        <v>860</v>
      </c>
      <c r="B30" t="s" s="5">
        <v>855</v>
      </c>
      <c r="C30" t="s" s="5">
        <v>861</v>
      </c>
      <c r="D30" t="s" s="5">
        <v>862</v>
      </c>
      <c r="E30" t="s" s="5">
        <v>863</v>
      </c>
      <c r="F30" t="s" s="20">
        <v>42</v>
      </c>
      <c r="G30" t="s" s="5">
        <v>864</v>
      </c>
    </row>
  </sheetData>
  <autoFilter ref="A4:G30"/>
  <mergeCells count="5">
    <mergeCell ref="A1:G1"/>
    <mergeCell ref="A2:G2"/>
    <mergeCell ref="A5:G5"/>
    <mergeCell ref="A11:G11"/>
    <mergeCell ref="A20:G20"/>
  </mergeCells>
  <pageMargins bottom="0.75" footer="0.3" header="0.3" left="0.7" right="0.7" top="0.75"/>
</worksheet>
</file>

<file path=xl/worksheets/sheet8.xml><?xml version="1.0" encoding="utf-8"?>
<worksheet xmlns="http://schemas.openxmlformats.org/spreadsheetml/2006/main">
  <dimension ref="A1:D26"/>
  <sheetViews>
    <sheetView workbookViewId="0" showGridLines="false">
      <pane ySplit="4.0" state="frozen" topLeftCell="A5" activePane="bottomLeft"/>
      <selection pane="bottomLeft"/>
    </sheetView>
  </sheetViews>
  <sheetFormatPr defaultRowHeight="15.0"/>
  <cols>
    <col min="1" max="1" width="6.0" customWidth="true"/>
    <col min="2" max="2" width="16.0" customWidth="true"/>
    <col min="3" max="3" width="84.0" customWidth="true"/>
    <col min="4" max="4" width="74.0" customWidth="true"/>
  </cols>
  <sheetData>
    <row r="1" ht="20.0" customHeight="true">
      <c r="A1" t="s" s="1">
        <v>29</v>
      </c>
    </row>
    <row r="2">
      <c r="A2" t="s" s="2">
        <v>865</v>
      </c>
    </row>
    <row r="4" ht="32.0" customHeight="true">
      <c r="A4" t="s" s="3">
        <v>866</v>
      </c>
      <c r="B4" t="s" s="3">
        <v>867</v>
      </c>
      <c r="C4" t="s" s="3">
        <v>868</v>
      </c>
      <c r="D4" t="s" s="3">
        <v>869</v>
      </c>
    </row>
    <row r="5" ht="20.0" customHeight="true">
      <c r="A5" t="s" s="4">
        <v>870</v>
      </c>
      <c r="B5" s="4"/>
      <c r="C5" s="4"/>
      <c r="D5" s="4"/>
    </row>
    <row r="6">
      <c r="A6" t="s" s="5">
        <v>871</v>
      </c>
      <c r="B6" t="s" s="5">
        <v>872</v>
      </c>
      <c r="C6" t="s" s="5">
        <v>873</v>
      </c>
      <c r="D6" t="s" s="5">
        <v>874</v>
      </c>
    </row>
    <row r="7">
      <c r="A7" t="s" s="5">
        <v>875</v>
      </c>
      <c r="B7" t="s" s="5">
        <v>872</v>
      </c>
      <c r="C7" t="s" s="5">
        <v>876</v>
      </c>
      <c r="D7" t="s" s="5">
        <v>877</v>
      </c>
    </row>
    <row r="8">
      <c r="A8" t="s" s="5">
        <v>878</v>
      </c>
      <c r="B8" t="s" s="5">
        <v>872</v>
      </c>
      <c r="C8" t="s" s="5">
        <v>879</v>
      </c>
      <c r="D8" t="s" s="5">
        <v>880</v>
      </c>
    </row>
    <row r="9">
      <c r="A9" t="s" s="5">
        <v>881</v>
      </c>
      <c r="B9" t="s" s="5">
        <v>872</v>
      </c>
      <c r="C9" t="s" s="5">
        <v>882</v>
      </c>
      <c r="D9" t="s" s="5">
        <v>883</v>
      </c>
    </row>
    <row r="10">
      <c r="A10" t="s" s="5">
        <v>884</v>
      </c>
      <c r="B10" t="s" s="5">
        <v>872</v>
      </c>
      <c r="C10" t="s" s="5">
        <v>885</v>
      </c>
      <c r="D10" t="s" s="5">
        <v>886</v>
      </c>
    </row>
    <row r="11">
      <c r="A11" t="s" s="5">
        <v>887</v>
      </c>
      <c r="B11" t="s" s="5">
        <v>872</v>
      </c>
      <c r="C11" t="s" s="5">
        <v>888</v>
      </c>
      <c r="D11" t="s" s="5">
        <v>889</v>
      </c>
    </row>
    <row r="12">
      <c r="A12" t="s" s="5">
        <v>890</v>
      </c>
      <c r="B12" t="s" s="5">
        <v>872</v>
      </c>
      <c r="C12" t="s" s="5">
        <v>891</v>
      </c>
      <c r="D12" t="s" s="5">
        <v>892</v>
      </c>
    </row>
    <row r="13">
      <c r="A13" t="s" s="5">
        <v>893</v>
      </c>
      <c r="B13" t="s" s="5">
        <v>872</v>
      </c>
      <c r="C13" t="s" s="5">
        <v>894</v>
      </c>
      <c r="D13" t="s" s="5">
        <v>895</v>
      </c>
    </row>
    <row r="14">
      <c r="A14" t="s" s="5">
        <v>896</v>
      </c>
      <c r="B14" t="s" s="5">
        <v>872</v>
      </c>
      <c r="C14" t="s" s="5">
        <v>897</v>
      </c>
      <c r="D14" t="s" s="5">
        <v>898</v>
      </c>
    </row>
    <row r="15" ht="20.0" customHeight="true">
      <c r="A15" t="s" s="4">
        <v>899</v>
      </c>
      <c r="B15" s="4"/>
      <c r="C15" s="4"/>
      <c r="D15" s="4"/>
    </row>
    <row r="16">
      <c r="A16" t="s" s="5">
        <v>900</v>
      </c>
      <c r="B16" t="s" s="5">
        <v>901</v>
      </c>
      <c r="C16" t="s" s="5">
        <v>902</v>
      </c>
      <c r="D16" t="s" s="5">
        <v>903</v>
      </c>
    </row>
    <row r="17">
      <c r="A17" t="s" s="5">
        <v>904</v>
      </c>
      <c r="B17" t="s" s="5">
        <v>901</v>
      </c>
      <c r="C17" t="s" s="5">
        <v>905</v>
      </c>
      <c r="D17" t="s" s="5">
        <v>906</v>
      </c>
    </row>
    <row r="18">
      <c r="A18" t="s" s="5">
        <v>907</v>
      </c>
      <c r="B18" t="s" s="5">
        <v>901</v>
      </c>
      <c r="C18" t="s" s="5">
        <v>908</v>
      </c>
      <c r="D18" t="s" s="5">
        <v>909</v>
      </c>
    </row>
    <row r="19">
      <c r="A19" t="s" s="5">
        <v>910</v>
      </c>
      <c r="B19" t="s" s="5">
        <v>901</v>
      </c>
      <c r="C19" t="s" s="5">
        <v>911</v>
      </c>
      <c r="D19" t="s" s="5">
        <v>912</v>
      </c>
    </row>
    <row r="20">
      <c r="A20" t="s" s="5">
        <v>913</v>
      </c>
      <c r="B20" t="s" s="5">
        <v>901</v>
      </c>
      <c r="C20" t="s" s="5">
        <v>914</v>
      </c>
      <c r="D20" t="s" s="5">
        <v>915</v>
      </c>
    </row>
    <row r="21">
      <c r="A21" t="s" s="5">
        <v>916</v>
      </c>
      <c r="B21" t="s" s="5">
        <v>901</v>
      </c>
      <c r="C21" t="s" s="5">
        <v>917</v>
      </c>
      <c r="D21" t="s" s="5">
        <v>918</v>
      </c>
    </row>
    <row r="22">
      <c r="A22" t="s" s="5">
        <v>919</v>
      </c>
      <c r="B22" t="s" s="5">
        <v>901</v>
      </c>
      <c r="C22" t="s" s="5">
        <v>920</v>
      </c>
      <c r="D22" t="s" s="5">
        <v>921</v>
      </c>
    </row>
    <row r="23">
      <c r="A23" t="s" s="5">
        <v>922</v>
      </c>
      <c r="B23" t="s" s="5">
        <v>901</v>
      </c>
      <c r="C23" t="s" s="5">
        <v>923</v>
      </c>
      <c r="D23" t="s" s="5">
        <v>924</v>
      </c>
    </row>
    <row r="24">
      <c r="A24" t="s" s="5">
        <v>925</v>
      </c>
      <c r="B24" t="s" s="5">
        <v>901</v>
      </c>
      <c r="C24" t="s" s="5">
        <v>926</v>
      </c>
      <c r="D24" t="s" s="5">
        <v>927</v>
      </c>
    </row>
    <row r="25">
      <c r="A25" t="s" s="5">
        <v>928</v>
      </c>
      <c r="B25" t="s" s="5">
        <v>901</v>
      </c>
      <c r="C25" t="s" s="5">
        <v>929</v>
      </c>
      <c r="D25" t="s" s="5">
        <v>930</v>
      </c>
    </row>
    <row r="26">
      <c r="A26" t="s" s="5">
        <v>931</v>
      </c>
      <c r="B26" t="s" s="5">
        <v>901</v>
      </c>
      <c r="C26" t="s" s="5">
        <v>932</v>
      </c>
      <c r="D26" t="s" s="5">
        <v>933</v>
      </c>
    </row>
  </sheetData>
  <autoFilter ref="A4:D26"/>
  <mergeCells count="4">
    <mergeCell ref="A1:D1"/>
    <mergeCell ref="A2:D2"/>
    <mergeCell ref="A5:D5"/>
    <mergeCell ref="A15:D15"/>
  </mergeCells>
  <pageMargins bottom="0.75" footer="0.3" header="0.3" left="0.7" right="0.7" top="0.75"/>
</worksheet>
</file>

<file path=xl/worksheets/sheet9.xml><?xml version="1.0" encoding="utf-8"?>
<worksheet xmlns="http://schemas.openxmlformats.org/spreadsheetml/2006/main">
  <dimension ref="A1:F43"/>
  <sheetViews>
    <sheetView workbookViewId="0" showGridLines="false">
      <pane ySplit="4.0" state="frozen" topLeftCell="A5" activePane="bottomLeft"/>
      <selection pane="bottomLeft"/>
    </sheetView>
  </sheetViews>
  <sheetFormatPr defaultRowHeight="15.0"/>
  <cols>
    <col min="1" max="1" width="34.0" customWidth="true"/>
    <col min="2" max="2" width="14.0" customWidth="true"/>
    <col min="3" max="3" width="26.0" customWidth="true"/>
    <col min="4" max="4" width="46.0" customWidth="true"/>
    <col min="5" max="5" width="18.0" customWidth="true"/>
    <col min="6" max="6" width="62.0" customWidth="true"/>
  </cols>
  <sheetData>
    <row r="1" ht="20.0" customHeight="true">
      <c r="A1" t="s" s="1">
        <v>31</v>
      </c>
    </row>
    <row r="2">
      <c r="A2" t="s" s="2">
        <v>934</v>
      </c>
    </row>
    <row r="4" ht="32.0" customHeight="true">
      <c r="A4" t="s" s="3">
        <v>935</v>
      </c>
      <c r="B4" t="s" s="3">
        <v>936</v>
      </c>
      <c r="C4" t="s" s="3">
        <v>937</v>
      </c>
      <c r="D4" t="s" s="3">
        <v>938</v>
      </c>
      <c r="E4" t="s" s="3">
        <v>939</v>
      </c>
      <c r="F4" t="s" s="3">
        <v>940</v>
      </c>
    </row>
    <row r="5" ht="20.0" customHeight="true">
      <c r="A5" t="s" s="4">
        <v>941</v>
      </c>
      <c r="B5" s="4"/>
      <c r="C5" s="4"/>
      <c r="D5" s="4"/>
      <c r="E5" s="4"/>
      <c r="F5" s="4"/>
    </row>
    <row r="6">
      <c r="A6" t="s" s="5">
        <v>87</v>
      </c>
      <c r="B6" t="s" s="5">
        <v>942</v>
      </c>
      <c r="C6" t="s" s="5">
        <v>943</v>
      </c>
      <c r="D6" t="s" s="5">
        <v>944</v>
      </c>
      <c r="E6" t="s" s="5">
        <v>945</v>
      </c>
      <c r="F6" t="s" s="5">
        <v>946</v>
      </c>
    </row>
    <row r="7">
      <c r="A7" t="s" s="5">
        <v>366</v>
      </c>
      <c r="B7" t="s" s="5">
        <v>942</v>
      </c>
      <c r="C7" t="s" s="5">
        <v>943</v>
      </c>
      <c r="D7" t="s" s="5">
        <v>947</v>
      </c>
      <c r="E7" t="s" s="5">
        <v>948</v>
      </c>
      <c r="F7" t="s" s="5">
        <v>949</v>
      </c>
    </row>
    <row r="8">
      <c r="A8" t="s" s="5">
        <v>950</v>
      </c>
      <c r="B8" t="s" s="5">
        <v>951</v>
      </c>
      <c r="C8" t="s" s="5">
        <v>952</v>
      </c>
      <c r="D8" t="s" s="5">
        <v>953</v>
      </c>
      <c r="E8" t="s" s="5">
        <v>945</v>
      </c>
      <c r="F8" t="s" s="5">
        <v>954</v>
      </c>
    </row>
    <row r="9">
      <c r="A9" t="s" s="5">
        <v>955</v>
      </c>
      <c r="B9" t="s" s="5">
        <v>951</v>
      </c>
      <c r="C9" t="s" s="5">
        <v>952</v>
      </c>
      <c r="D9" t="s" s="5">
        <v>81</v>
      </c>
      <c r="E9" t="s" s="5">
        <v>956</v>
      </c>
      <c r="F9" t="s" s="5">
        <v>957</v>
      </c>
    </row>
    <row r="10">
      <c r="A10" t="s" s="5">
        <v>142</v>
      </c>
      <c r="B10" t="s" s="5">
        <v>958</v>
      </c>
      <c r="C10" t="s" s="5">
        <v>959</v>
      </c>
      <c r="D10" t="s" s="5">
        <v>960</v>
      </c>
      <c r="E10" t="s" s="5">
        <v>945</v>
      </c>
      <c r="F10" t="s" s="5">
        <v>961</v>
      </c>
    </row>
    <row r="11">
      <c r="A11" t="s" s="5">
        <v>962</v>
      </c>
      <c r="B11" t="s" s="5">
        <v>963</v>
      </c>
      <c r="C11" t="s" s="5">
        <v>959</v>
      </c>
      <c r="D11" t="s" s="5">
        <v>964</v>
      </c>
      <c r="E11" t="s" s="5">
        <v>945</v>
      </c>
      <c r="F11" t="s" s="5">
        <v>965</v>
      </c>
    </row>
    <row r="12">
      <c r="A12" t="s" s="5">
        <v>219</v>
      </c>
      <c r="B12" t="s" s="5">
        <v>966</v>
      </c>
      <c r="C12" t="s" s="5">
        <v>967</v>
      </c>
      <c r="D12" t="s" s="5">
        <v>968</v>
      </c>
      <c r="E12" t="s" s="5">
        <v>945</v>
      </c>
      <c r="F12" t="s" s="5">
        <v>969</v>
      </c>
    </row>
    <row r="13">
      <c r="A13" t="s" s="5">
        <v>970</v>
      </c>
      <c r="B13" t="s" s="5">
        <v>971</v>
      </c>
      <c r="C13" t="s" s="5">
        <v>967</v>
      </c>
      <c r="D13" t="s" s="5">
        <v>972</v>
      </c>
      <c r="E13" t="s" s="5">
        <v>945</v>
      </c>
      <c r="F13" t="s" s="5">
        <v>226</v>
      </c>
    </row>
    <row r="14">
      <c r="A14" t="s" s="5">
        <v>275</v>
      </c>
      <c r="B14" t="s" s="5">
        <v>973</v>
      </c>
      <c r="C14" t="s" s="5">
        <v>974</v>
      </c>
      <c r="D14" t="s" s="5">
        <v>975</v>
      </c>
      <c r="E14" t="s" s="5">
        <v>945</v>
      </c>
      <c r="F14" t="s" s="5">
        <v>976</v>
      </c>
    </row>
    <row r="15">
      <c r="A15" t="s" s="5">
        <v>977</v>
      </c>
      <c r="B15" t="s" s="5">
        <v>978</v>
      </c>
      <c r="C15" t="s" s="5">
        <v>974</v>
      </c>
      <c r="D15" t="s" s="5">
        <v>979</v>
      </c>
      <c r="E15" t="s" s="5">
        <v>945</v>
      </c>
      <c r="F15" t="s" s="5">
        <v>980</v>
      </c>
    </row>
    <row r="16">
      <c r="A16" t="s" s="5">
        <v>981</v>
      </c>
      <c r="B16" t="s" s="5">
        <v>982</v>
      </c>
      <c r="C16" t="s" s="5">
        <v>983</v>
      </c>
      <c r="D16" t="s" s="5">
        <v>984</v>
      </c>
      <c r="E16" t="s" s="5">
        <v>945</v>
      </c>
      <c r="F16" t="s" s="5">
        <v>985</v>
      </c>
    </row>
    <row r="17">
      <c r="A17" t="s" s="5">
        <v>986</v>
      </c>
      <c r="B17" t="s" s="5">
        <v>987</v>
      </c>
      <c r="C17" t="s" s="5">
        <v>988</v>
      </c>
      <c r="D17" t="s" s="5">
        <v>289</v>
      </c>
      <c r="E17" t="s" s="5">
        <v>945</v>
      </c>
      <c r="F17" t="s" s="5">
        <v>989</v>
      </c>
    </row>
    <row r="18" ht="20.0" customHeight="true">
      <c r="A18" t="s" s="4">
        <v>990</v>
      </c>
      <c r="B18" s="4"/>
      <c r="C18" s="4"/>
      <c r="D18" s="4"/>
      <c r="E18" s="4"/>
      <c r="F18" s="4"/>
    </row>
    <row r="19">
      <c r="A19" t="s" s="5">
        <v>440</v>
      </c>
      <c r="B19" t="s" s="5">
        <v>991</v>
      </c>
      <c r="C19" t="s" s="5">
        <v>992</v>
      </c>
      <c r="D19" t="s" s="5">
        <v>993</v>
      </c>
      <c r="E19" t="s" s="5">
        <v>945</v>
      </c>
      <c r="F19" t="s" s="5">
        <v>994</v>
      </c>
    </row>
    <row r="20">
      <c r="A20" t="s" s="5">
        <v>995</v>
      </c>
      <c r="B20" t="s" s="5">
        <v>996</v>
      </c>
      <c r="C20" t="s" s="5">
        <v>992</v>
      </c>
      <c r="D20" t="s" s="5">
        <v>997</v>
      </c>
      <c r="E20" t="s" s="5">
        <v>945</v>
      </c>
      <c r="F20" t="s" s="5">
        <v>998</v>
      </c>
    </row>
    <row r="21">
      <c r="A21" t="s" s="5">
        <v>999</v>
      </c>
      <c r="B21" t="s" s="5">
        <v>1000</v>
      </c>
      <c r="C21" t="s" s="5">
        <v>992</v>
      </c>
      <c r="D21" t="s" s="5">
        <v>1001</v>
      </c>
      <c r="E21" t="s" s="5">
        <v>948</v>
      </c>
      <c r="F21" t="s" s="5">
        <v>1002</v>
      </c>
    </row>
    <row r="22">
      <c r="A22" t="s" s="5">
        <v>530</v>
      </c>
      <c r="B22" t="s" s="5">
        <v>1003</v>
      </c>
      <c r="C22" t="s" s="5">
        <v>992</v>
      </c>
      <c r="D22" t="s" s="5">
        <v>1004</v>
      </c>
      <c r="E22" t="s" s="5">
        <v>1005</v>
      </c>
      <c r="F22" t="s" s="5">
        <v>1006</v>
      </c>
    </row>
    <row r="23">
      <c r="A23" t="s" s="5">
        <v>519</v>
      </c>
      <c r="B23" t="s" s="5">
        <v>1007</v>
      </c>
      <c r="C23" t="s" s="5">
        <v>992</v>
      </c>
      <c r="D23" t="s" s="5">
        <v>1008</v>
      </c>
      <c r="E23" t="s" s="5">
        <v>948</v>
      </c>
      <c r="F23" t="s" s="5">
        <v>1009</v>
      </c>
    </row>
    <row r="24">
      <c r="A24" t="s" s="5">
        <v>489</v>
      </c>
      <c r="B24" t="s" s="5">
        <v>991</v>
      </c>
      <c r="C24" t="s" s="5">
        <v>992</v>
      </c>
      <c r="D24" t="s" s="5">
        <v>1010</v>
      </c>
      <c r="E24" t="s" s="5">
        <v>1011</v>
      </c>
      <c r="F24" t="s" s="5">
        <v>1012</v>
      </c>
    </row>
    <row r="25">
      <c r="A25" t="s" s="5">
        <v>551</v>
      </c>
      <c r="B25" t="s" s="5">
        <v>1013</v>
      </c>
      <c r="C25" t="s" s="5">
        <v>992</v>
      </c>
      <c r="D25" t="s" s="5">
        <v>1014</v>
      </c>
      <c r="E25" t="s" s="5">
        <v>1015</v>
      </c>
      <c r="F25" t="s" s="5">
        <v>1016</v>
      </c>
    </row>
    <row r="26">
      <c r="A26" t="s" s="5">
        <v>1017</v>
      </c>
      <c r="B26" t="s" s="5">
        <v>1018</v>
      </c>
      <c r="C26" t="s" s="5">
        <v>959</v>
      </c>
      <c r="D26" t="s" s="5">
        <v>1019</v>
      </c>
      <c r="E26" t="s" s="5">
        <v>1020</v>
      </c>
      <c r="F26" t="s" s="5">
        <v>1021</v>
      </c>
    </row>
    <row r="27">
      <c r="A27" t="s" s="5">
        <v>481</v>
      </c>
      <c r="B27" t="s" s="5">
        <v>1022</v>
      </c>
      <c r="C27" t="s" s="5">
        <v>992</v>
      </c>
      <c r="D27" t="s" s="5">
        <v>1023</v>
      </c>
      <c r="E27" t="s" s="5">
        <v>1011</v>
      </c>
      <c r="F27" t="s" s="5">
        <v>137</v>
      </c>
    </row>
    <row r="28" ht="20.0" customHeight="true">
      <c r="A28" t="s" s="4">
        <v>1024</v>
      </c>
      <c r="B28" s="4"/>
      <c r="C28" s="4"/>
      <c r="D28" s="4"/>
      <c r="E28" s="4"/>
      <c r="F28" s="4"/>
    </row>
    <row r="29">
      <c r="A29" t="s" s="5">
        <v>1025</v>
      </c>
      <c r="B29" t="s" s="5">
        <v>1026</v>
      </c>
      <c r="C29" t="s" s="5">
        <v>1027</v>
      </c>
      <c r="D29" t="s" s="5">
        <v>1028</v>
      </c>
      <c r="E29" t="s" s="5">
        <v>1029</v>
      </c>
      <c r="F29" t="s" s="5">
        <v>1030</v>
      </c>
    </row>
    <row r="30">
      <c r="A30" t="s" s="5">
        <v>1031</v>
      </c>
      <c r="B30" t="s" s="5">
        <v>1032</v>
      </c>
      <c r="C30" t="s" s="5">
        <v>1027</v>
      </c>
      <c r="D30" t="s" s="5">
        <v>1033</v>
      </c>
      <c r="E30" t="s" s="5">
        <v>1034</v>
      </c>
      <c r="F30" t="s" s="5">
        <v>1035</v>
      </c>
    </row>
    <row r="31">
      <c r="A31" t="s" s="5">
        <v>1036</v>
      </c>
      <c r="B31" t="s" s="5">
        <v>1037</v>
      </c>
      <c r="C31" t="s" s="5">
        <v>1038</v>
      </c>
      <c r="D31" t="s" s="5">
        <v>1039</v>
      </c>
      <c r="E31" t="s" s="5">
        <v>1034</v>
      </c>
      <c r="F31" t="s" s="5">
        <v>1040</v>
      </c>
    </row>
    <row r="32">
      <c r="A32" t="s" s="5">
        <v>1041</v>
      </c>
      <c r="B32" t="s" s="5">
        <v>1042</v>
      </c>
      <c r="C32" t="s" s="5">
        <v>1038</v>
      </c>
      <c r="D32" t="s" s="5">
        <v>1043</v>
      </c>
      <c r="E32" t="s" s="5">
        <v>1044</v>
      </c>
      <c r="F32" t="s" s="5">
        <v>1045</v>
      </c>
    </row>
    <row r="33">
      <c r="A33" t="s" s="5">
        <v>71</v>
      </c>
      <c r="B33" t="s" s="5">
        <v>1046</v>
      </c>
      <c r="C33" t="s" s="5">
        <v>1047</v>
      </c>
      <c r="D33" t="s" s="5">
        <v>1048</v>
      </c>
      <c r="E33" t="s" s="5">
        <v>1049</v>
      </c>
      <c r="F33" t="s" s="5">
        <v>1050</v>
      </c>
    </row>
    <row r="34">
      <c r="A34" t="s" s="5">
        <v>1051</v>
      </c>
      <c r="B34" t="s" s="5">
        <v>1052</v>
      </c>
      <c r="C34" t="s" s="5">
        <v>967</v>
      </c>
      <c r="D34" t="s" s="5">
        <v>1053</v>
      </c>
      <c r="E34" t="s" s="5">
        <v>1020</v>
      </c>
      <c r="F34" t="s" s="5">
        <v>1054</v>
      </c>
    </row>
    <row r="35" ht="20.0" customHeight="true">
      <c r="A35" t="s" s="4">
        <v>1055</v>
      </c>
      <c r="B35" s="4"/>
      <c r="C35" s="4"/>
      <c r="D35" s="4"/>
      <c r="E35" s="4"/>
      <c r="F35" s="4"/>
    </row>
    <row r="36">
      <c r="A36" t="s" s="5">
        <v>1056</v>
      </c>
      <c r="B36" t="s" s="5">
        <v>1013</v>
      </c>
      <c r="C36" t="s" s="5">
        <v>1027</v>
      </c>
      <c r="D36" t="s" s="5">
        <v>1057</v>
      </c>
      <c r="E36" t="s" s="5">
        <v>1015</v>
      </c>
      <c r="F36" t="s" s="5">
        <v>1058</v>
      </c>
    </row>
    <row r="37">
      <c r="A37" t="s" s="5">
        <v>1059</v>
      </c>
      <c r="B37" t="s" s="5">
        <v>1013</v>
      </c>
      <c r="C37" t="s" s="5">
        <v>1060</v>
      </c>
      <c r="D37" t="s" s="5">
        <v>1061</v>
      </c>
      <c r="E37" t="s" s="5">
        <v>1015</v>
      </c>
      <c r="F37" t="s" s="5">
        <v>1062</v>
      </c>
    </row>
    <row r="38">
      <c r="A38" t="s" s="5">
        <v>302</v>
      </c>
      <c r="B38" t="s" s="5">
        <v>1013</v>
      </c>
      <c r="C38" t="s" s="5">
        <v>1063</v>
      </c>
      <c r="D38" t="s" s="5">
        <v>1064</v>
      </c>
      <c r="E38" t="s" s="5">
        <v>1015</v>
      </c>
      <c r="F38" t="s" s="5">
        <v>1065</v>
      </c>
    </row>
    <row r="39">
      <c r="A39" t="s" s="5">
        <v>1066</v>
      </c>
      <c r="B39" t="s" s="5">
        <v>1013</v>
      </c>
      <c r="C39" t="s" s="5">
        <v>1067</v>
      </c>
      <c r="D39" t="s" s="5">
        <v>1068</v>
      </c>
      <c r="E39" t="s" s="5">
        <v>1015</v>
      </c>
      <c r="F39" t="s" s="5">
        <v>1069</v>
      </c>
    </row>
    <row r="40">
      <c r="A40" t="s" s="5">
        <v>1070</v>
      </c>
      <c r="B40" t="s" s="5">
        <v>1013</v>
      </c>
      <c r="C40" t="s" s="5">
        <v>1071</v>
      </c>
      <c r="D40" t="s" s="5">
        <v>1072</v>
      </c>
      <c r="E40" t="s" s="5">
        <v>1015</v>
      </c>
      <c r="F40" t="s" s="5">
        <v>1073</v>
      </c>
    </row>
    <row r="41">
      <c r="A41" t="s" s="5">
        <v>1074</v>
      </c>
      <c r="B41" t="s" s="5">
        <v>1013</v>
      </c>
      <c r="C41" t="s" s="5">
        <v>1075</v>
      </c>
      <c r="D41" t="s" s="5">
        <v>1076</v>
      </c>
      <c r="E41" t="s" s="5">
        <v>1015</v>
      </c>
      <c r="F41" t="s" s="5">
        <v>1073</v>
      </c>
    </row>
    <row r="42">
      <c r="A42" t="s" s="5">
        <v>1077</v>
      </c>
      <c r="B42" t="s" s="5">
        <v>1013</v>
      </c>
      <c r="C42" t="s" s="5">
        <v>1078</v>
      </c>
      <c r="D42" t="s" s="5">
        <v>1079</v>
      </c>
      <c r="E42" t="s" s="5">
        <v>1015</v>
      </c>
      <c r="F42" t="s" s="5">
        <v>1080</v>
      </c>
    </row>
    <row r="43">
      <c r="A43" t="s" s="5">
        <v>1081</v>
      </c>
      <c r="B43" t="s" s="5">
        <v>137</v>
      </c>
      <c r="C43" t="s" s="5">
        <v>1082</v>
      </c>
      <c r="D43" t="s" s="5">
        <v>1083</v>
      </c>
      <c r="E43" t="s" s="5">
        <v>1084</v>
      </c>
      <c r="F43" t="s" s="5">
        <v>1085</v>
      </c>
    </row>
  </sheetData>
  <autoFilter ref="A4:F43"/>
  <mergeCells count="6">
    <mergeCell ref="A1:F1"/>
    <mergeCell ref="A2:F2"/>
    <mergeCell ref="A5:F5"/>
    <mergeCell ref="A18:F18"/>
    <mergeCell ref="A28:F28"/>
    <mergeCell ref="A35:F3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2026-09-17T07:17:46Z</dcterms:created>
  <dc:creator>Apache POI</dc:creator>
</cp:coreProperties>
</file>